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LEFT'!$A$1:$AK$1</definedName>
    <definedName hidden="true" localSheetId="6" name="_xlnm._FilterDatabase">'ERROR DATA LEFT'!$A$1:$AL$1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<sst xmlns="http://schemas.openxmlformats.org/spreadsheetml/2006/main" count="519" uniqueCount="519">
  <si>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</si>
  <si>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</si>
  <si>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</si>
  <si>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</si>
  <si>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</si>
  <si>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</si>
  <si>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</si>
  <si>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</si>
  <si>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</si>
  <si>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</si>
  <si>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</si>
  <si>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</si>
  <si>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</si>
  <si>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</si>
  <si>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</si>
  <si>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</si>
  <si>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</si>
  <si>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</si>
  <si>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</si>
  <si>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</si>
  <si>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</si>
  <si>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</si>
  <si>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</si>
  <si>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</si>
  <si>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</si>
  <si>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</si>
  <si>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</si>
  <si>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</si>
  <si>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</si>
  <si>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</si>
  <si>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</si>
  <si>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</si>
  <si>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</si>
  <si>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</si>
  <si>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</si>
  <si>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</si>
  <si>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</si>
  <si>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</si>
  <si>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</si>
  <si>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</si>
  <si>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</si>
  <si>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</si>
  <si>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</si>
  <si>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</si>
  <si>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</si>
  <si>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</si>
  <si>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</si>
  <si>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</si>
  <si>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</si>
  <si>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</si>
  <si>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</si>
  <si>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</si>
  <si>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</si>
  <si>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</si>
  <si>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</si>
  <si>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</si>
  <si>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</si>
  <si>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</si>
  <si>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</si>
  <si>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</si>
  <si>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</si>
  <si>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</si>
  <si>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</si>
  <si>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</si>
  <si>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</si>
  <si>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</si>
  <si>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</si>
  <si>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</si>
  <si>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</si>
  <si>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</si>
  <si>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</si>
  <si>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</si>
  <si>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</si>
  <si>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</si>
  <si>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</si>
  <si>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</si>
  <si>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</si>
  <si>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</si>
  <si>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</si>
  <si>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</si>
  <si>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</si>
  <si>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</si>
  <si>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</si>
  <si>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</si>
  <si>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</si>
  <si>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</si>
  <si>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</si>
  <si>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</si>
  <si>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</si>
  <si>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</si>
  <si>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</si>
  <si>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</si>
  <si>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</si>
  <si>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</si>
  <si>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</si>
  <si>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</si>
  <si>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</si>
  <si>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</si>
  <si>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</si>
  <si>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</si>
  <si>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</si>
  <si>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</si>
  <si>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</si>
  <si>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</si>
  <si>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</si>
  <si>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</si>
  <si>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</si>
  <si>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</si>
  <si>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</si>
  <si>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</si>
  <si>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</si>
  <si>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</si>
  <si>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</si>
  <si>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</si>
  <si>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</si>
  <si>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</si>
  <si>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</si>
  <si>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</si>
  <si>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</si>
  <si>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</si>
  <si>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</si>
  <si>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</si>
  <si>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</si>
  <si>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</si>
  <si>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</si>
  <si>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</si>
  <si>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</si>
  <si>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</si>
  <si>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</si>
  <si>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</si>
  <si>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</si>
  <si>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</si>
  <si>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</si>
  <si>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</si>
  <si>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</si>
  <si>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</si>
  <si>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</si>
  <si>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</si>
  <si>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</si>
  <si>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</si>
  <si>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</si>
  <si>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</si>
  <si>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</si>
  <si>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</si>
  <si>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</si>
  <si>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</si>
  <si>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</si>
  <si>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</si>
  <si>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</si>
  <si>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</si>
  <si>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</si>
  <si>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</si>
  <si>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</si>
  <si>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</si>
  <si>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</si>
  <si>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</si>
  <si>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</si>
  <si>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</si>
  <si>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</si>
  <si>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</si>
  <si>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</si>
  <si>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</si>
  <si>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</si>
  <si>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</si>
  <si>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</si>
  <si>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</si>
  <si>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</si>
  <si>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</si>
  <si>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</si>
  <si>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</si>
  <si>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</si>
  <si>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</si>
  <si>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</si>
  <si>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</si>
  <si>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</si>
  <si>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</si>
  <si>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</si>
  <si>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</si>
  <si>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</si>
  <si>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</si>
  <si>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</si>
  <si>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</si>
  <si>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</si>
  <si>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</si>
  <si>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</si>
  <si>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</si>
  <si>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</si>
  <si>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</si>
  <si>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</si>
  <si>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</si>
  <si>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</si>
  <si>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</si>
  <si>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</si>
  <si>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</si>
  <si>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</si>
  <si>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</si>
  <si>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</si>
  <si>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</si>
  <si>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</si>
  <si>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</si>
  <si>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</si>
  <si>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</si>
  <si>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</si>
  <si>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</si>
  <si>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</si>
  <si>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</si>
  <si>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</si>
  <si>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</si>
  <si>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</si>
  <si>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</si>
  <si>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</si>
  <si>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</si>
  <si>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</si>
  <si>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</si>
  <si>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</si>
  <si>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</si>
  <si>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</si>
  <si>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</si>
  <si>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</si>
  <si>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</si>
  <si>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</si>
  <si>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</si>
  <si>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</si>
  <si>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</si>
  <si>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</si>
  <si>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</si>
  <si>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</si>
  <si>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</si>
  <si>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</si>
  <si>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</si>
  <si>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</si>
  <si>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</si>
  <si>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</si>
  <si>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</si>
  <si>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</si>
  <si>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</si>
  <si>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</si>
  <si>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</si>
  <si>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</si>
  <si>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</si>
  <si>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</si>
  <si>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</si>
  <si>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</si>
  <si>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</si>
  <si>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</si>
  <si>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</si>
  <si>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</si>
  <si>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</si>
  <si>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</si>
  <si>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</si>
  <si>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</si>
  <si>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</si>
  <si>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</si>
  <si>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</si>
  <si>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</si>
  <si>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</si>
  <si>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</si>
  <si>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</si>
  <si>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</si>
  <si>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</si>
  <si>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</si>
  <si>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</si>
  <si>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</si>
  <si>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</si>
  <si>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</si>
  <si>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</si>
  <si>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</si>
  <si>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</si>
  <si>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</si>
  <si>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</si>
  <si>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</si>
  <si>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</si>
  <si>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</si>
  <si>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</si>
  <si>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</si>
  <si>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</si>
  <si>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</si>
  <si>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</si>
  <si>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</si>
  <si>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</si>
  <si>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</si>
  <si>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</si>
  <si>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</si>
  <si>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</si>
  <si>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</si>
  <si>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</si>
  <si>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</si>
  <si>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</si>
  <si>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</si>
  <si>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</si>
  <si>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</si>
  <si>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</si>
  <si>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</si>
  <si>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</si>
  <si>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</si>
  <si>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</si>
  <si>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</si>
  <si>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</si>
  <si>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</si>
  <si>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</si>
  <si>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</si>
  <si>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</si>
  <si>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</si>
  <si>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</si>
  <si>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</si>
  <si>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</si>
  <si>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</si>
  <si>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</si>
  <si>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</si>
  <si>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</si>
  <si>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</si>
  <si>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</si>
  <si>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</si>
  <si>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</si>
  <si>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</si>
  <si>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</si>
  <si>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</si>
  <si>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</si>
  <si>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</si>
  <si>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</si>
  <si>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</si>
  <si>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</si>
  <si>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</si>
  <si>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</si>
  <si>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</si>
  <si>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</si>
  <si>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</si>
  <si>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</si>
  <si>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</si>
  <si>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</si>
  <si>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</si>
  <si>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</si>
  <si>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</si>
  <si>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</si>
  <si>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</si>
  <si>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</si>
  <si>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</si>
  <si>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</si>
  <si>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</si>
  <si>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</si>
  <si>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</si>
  <si>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</si>
  <si>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</si>
  <si>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</si>
  <si>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</si>
  <si>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</si>
  <si>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</si>
  <si>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</si>
  <si>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</si>
  <si>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</si>
  <si>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</si>
  <si>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</si>
  <si>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</si>
  <si>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</si>
  <si>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</si>
  <si>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</si>
  <si>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</si>
  <si>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</si>
  <si>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</si>
  <si>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</si>
  <si>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</si>
  <si>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</si>
  <si>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</si>
  <si>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</si>
  <si>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</si>
  <si>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</si>
  <si>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</si>
  <si>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</si>
  <si>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</si>
  <si>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</si>
  <si>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</si>
  <si>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</si>
  <si>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</si>
  <si>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</si>
  <si>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</si>
  <si>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</si>
  <si>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</si>
  <si>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</si>
  <si>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</si>
  <si>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</si>
  <si>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</si>
  <si>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</si>
  <si>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</si>
  <si>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</si>
  <si>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</si>
  <si>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</si>
  <si>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</si>
  <si>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</si>
  <si>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</si>
  <si>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</si>
  <si>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</si>
  <si>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</si>
  <si>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</si>
  <si>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</si>
  <si>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</si>
  <si>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</si>
  <si>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</si>
  <si>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</si>
  <si>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</si>
  <si>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</si>
  <si>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</si>
  <si>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</si>
  <si>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</si>
  <si>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</si>
  <si>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</si>
  <si>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</si>
  <si>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</si>
  <si>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</si>
  <si>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</si>
  <si>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</si>
  <si>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</si>
  <si>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</si>
  <si>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</si>
  <si>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</si>
  <si>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</si>
  <si>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</si>
  <si>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</si>
  <si>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</si>
  <si>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</si>
  <si>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</si>
  <si>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</si>
  <si>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</si>
  <si>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</si>
  <si>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</si>
  <si>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</si>
  <si>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</si>
  <si>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</si>
  <si>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</si>
  <si>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</si>
  <si>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</si>
  <si>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</si>
  <si>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</si>
  <si>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</si>
  <si>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</si>
  <si>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</si>
  <si>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</si>
  <si>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</si>
  <si>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</si>
  <si>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</si>
  <si>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</si>
  <si>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</si>
  <si>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</si>
  <si>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</si>
  <si>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</si>
  <si>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</si>
  <si>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</si>
  <si>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</si>
  <si>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</si>
  <si>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</si>
  <si>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</si>
  <si>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re</t>
  </si>
  <si>
    <t>OVO</t>
  </si>
  <si>
    <t>adsf</t>
  </si>
  <si>
    <t>2025-02-03 15:38:48</t>
  </si>
  <si>
    <t>Administrator - test123 dicoba</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</si>
  <si>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</si>
  <si>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</si>
  <si>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</si>
  <si>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</si>
  <si>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</si>
  <si>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</si>
  <si>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</si>
  <si>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</si>
  <si>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</si>
  <si>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</si>
  <si>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</si>
  <si>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</si>
  <si>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</si>
  <si>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</si>
  <si>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</si>
  <si>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</si>
  <si>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</si>
  <si>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</si>
  <si>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</si>
  <si>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</si>
  <si>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</si>
  <si>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</si>
  <si>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</si>
  <si>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</si>
  <si>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</si>
  <si>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</si>
  <si>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</si>
  <si>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</si>
  <si>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</si>
  <si>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</si>
  <si>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</si>
  <si>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</si>
  <si>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</si>
  <si>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</si>
  <si>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</si>
  <si>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</si>
  <si>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</si>
  <si>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</si>
  <si>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</si>
  <si>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</si>
  <si>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</si>
  <si>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</si>
  <si>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</si>
  <si>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</si>
  <si>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1648532</t>
  </si>
  <si>
    <t>MTI-000111615</t>
  </si>
  <si>
    <t>Tess PM703</t>
  </si>
  <si>
    <t>2025-06-20 10:00:00</t>
  </si>
  <si>
    <t>ndndj</t>
  </si>
  <si>
    <t>errors:Foto BAST Bermasalah</t>
  </si>
  <si>
    <t>2025-07-02 21:32:55</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</si>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</sst>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51:26"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51:26"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51:26"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re@x_foto_bast" Type="http://schemas.openxmlformats.org/officeDocument/2006/relationships/hyperlink" TargetMode="External"></Relationship><Relationship Id="rId2" Target="http://smartwebindonesia.com:5241/here/file/re@x_foto_ceklis" Type="http://schemas.openxmlformats.org/officeDocument/2006/relationships/hyperlink" TargetMode="External"></Relationship><Relationship Id="rId3" Target="http://smartwebindonesia.com:5241/here/file/re@x_foto_edc" Type="http://schemas.openxmlformats.org/officeDocument/2006/relationships/hyperlink" TargetMode="External"></Relationship><Relationship Id="rId4" Target="http://smartwebindonesia.com:5241/here/file/re@x_foto_pic" Type="http://schemas.openxmlformats.org/officeDocument/2006/relationships/hyperlink" TargetMode="External"></Relationship><Relationship Id="rId5" Target="http://smartwebindonesia.com:5241/here/file/re@x_foto_setting" Type="http://schemas.openxmlformats.org/officeDocument/2006/relationships/hyperlink" TargetMode="External"></Relationship><Relationship Id="rId6" Target="http://smartwebindonesia.com:5241/here/file/re@x_foto_thermal" Type="http://schemas.openxmlformats.org/officeDocument/2006/relationships/hyperlink" TargetMode="External"></Relationship><Relationship Id="rId7" Target="http://smartwebindonesia.com:5241/here/file/re@x_foto_toko" Type="http://schemas.openxmlformats.org/officeDocument/2006/relationships/hyperlink" TargetMode="External"></Relationship><Relationship Id="rId8" Target="http://smartwebindonesia.com:5241/here/file/re@x_foto_training" Type="http://schemas.openxmlformats.org/officeDocument/2006/relationships/hyperlink" TargetMode="External"></Relationship><Relationship Id="rId9" Target="http://smartwebindonesia.com:5241/here/file/re@x_foto_transaksi" Type="http://schemas.openxmlformats.org/officeDocument/2006/relationships/hyperlink" TargetMode="External"></Relationship><Relationship Id="rId10" Target="http://smartwebindonesia.com:5241/here/file/re@x_tanda_tangan_pic" Type="http://schemas.openxmlformats.org/officeDocument/2006/relationships/hyperlink" TargetMode="External"></Relationship><Relationship Id="rId11" Target="http://smartwebindonesia.com:5241/here/file/re@x_tanda_tangan_teknisi" Type="http://schemas.openxmlformats.org/officeDocument/2006/relationships/hyperlink" TargetMode="External"></Relationship><Relationship Id="rId12" Target="http://smartwebindonesia.com:5241/here/file/re@x_foto_sticker_edc" Type="http://schemas.openxmlformats.org/officeDocument/2006/relationships/hyperlink" TargetMode="External"></Relationship><Relationship Id="rId13" Target="http://smartwebindonesia.com:5241/here/file/re@x_foto_screen_guard" Type="http://schemas.openxmlformats.org/officeDocument/2006/relationships/hyperlink" TargetMode="External"></Relationship><Relationship Id="rId14" Target="http://smartwebindonesia.com:5241/here/file/re@x_foto_all_transaction" Type="http://schemas.openxmlformats.org/officeDocument/2006/relationships/hyperlink" TargetMode="External"></Relationship><Relationship Id="rId15" Target="http://smartwebindonesia.com:5241/here/file/re@x_foto_transaksi_bmri" Type="http://schemas.openxmlformats.org/officeDocument/2006/relationships/hyperlink" TargetMode="External"></Relationship><Relationship Id="rId16" Target="http://smartwebindonesia.com:5241/here/file/re@x_foto_transaksi_bni" Type="http://schemas.openxmlformats.org/officeDocument/2006/relationships/hyperlink" TargetMode="External"></Relationship><Relationship Id="rId17" Target="http://smartwebindonesia.com:5241/here/file/re@x_foto_transaksi_bri" Type="http://schemas.openxmlformats.org/officeDocument/2006/relationships/hyperlink" TargetMode="External"></Relationship><Relationship Id="rId18" Target="http://smartwebindonesia.com:5241/here/file/re@x_foto_transaksi_btn" Type="http://schemas.openxmlformats.org/officeDocument/2006/relationships/hyperlink" TargetMode="External"></Relationship><Relationship Id="rId19" Target="http://smartwebindonesia.com:5241/here/file/re@x_foto_transaksi_patch" Type="http://schemas.openxmlformats.org/officeDocument/2006/relationships/hyperlink" TargetMode="External"></Relationship><Relationship Id="rId20" Target="http://smartwebindonesia.com:5241/here/file/re@x_foto_screen_p2g" Type="http://schemas.openxmlformats.org/officeDocument/2006/relationships/hyperlink" TargetMode="External"></Relationship><Relationship Id="rId21" Target="http://smartwebindonesia.com:5241/here/file/re@x_foto_kontak_stiker_pic" Type="http://schemas.openxmlformats.org/officeDocument/2006/relationships/hyperlink" TargetMode="External"></Relationship><Relationship Id="rId22" Target="http://smartwebindonesia.com:5241/here/file/2800437@x_foto_bast" Type="http://schemas.openxmlformats.org/officeDocument/2006/relationships/hyperlink" TargetMode="External"></Relationship><Relationship Id="rId23" Target="http://smartwebindonesia.com:5241/here/file/2800437@x_foto_ceklis" Type="http://schemas.openxmlformats.org/officeDocument/2006/relationships/hyperlink" TargetMode="External"></Relationship><Relationship Id="rId24" Target="http://smartwebindonesia.com:5241/here/file/2800437@x_foto_edc" Type="http://schemas.openxmlformats.org/officeDocument/2006/relationships/hyperlink" TargetMode="External"></Relationship><Relationship Id="rId25" Target="http://smartwebindonesia.com:5241/here/file/2800437@x_foto_pic" Type="http://schemas.openxmlformats.org/officeDocument/2006/relationships/hyperlink" TargetMode="External"></Relationship><Relationship Id="rId26" Target="http://smartwebindonesia.com:5241/here/file/2800437@x_foto_setting" Type="http://schemas.openxmlformats.org/officeDocument/2006/relationships/hyperlink" TargetMode="External"></Relationship><Relationship Id="rId27" Target="http://smartwebindonesia.com:5241/here/file/2800437@x_foto_thermal" Type="http://schemas.openxmlformats.org/officeDocument/2006/relationships/hyperlink" TargetMode="External"></Relationship><Relationship Id="rId28" Target="http://smartwebindonesia.com:5241/here/file/2800437@x_foto_toko" Type="http://schemas.openxmlformats.org/officeDocument/2006/relationships/hyperlink" TargetMode="External"></Relationship><Relationship Id="rId29" Target="http://smartwebindonesia.com:5241/here/file/2800437@x_foto_training" Type="http://schemas.openxmlformats.org/officeDocument/2006/relationships/hyperlink" TargetMode="External"></Relationship><Relationship Id="rId30" Target="http://smartwebindonesia.com:5241/here/file/2800437@x_foto_transaksi" Type="http://schemas.openxmlformats.org/officeDocument/2006/relationships/hyperlink" TargetMode="External"></Relationship><Relationship Id="rId31" Target="http://smartwebindonesia.com:5241/here/file/2800437@x_tanda_tangan_pic" Type="http://schemas.openxmlformats.org/officeDocument/2006/relationships/hyperlink" TargetMode="External"></Relationship><Relationship Id="rId32" Target="http://smartwebindonesia.com:5241/here/file/2800437@x_tanda_tangan_teknisi" Type="http://schemas.openxmlformats.org/officeDocument/2006/relationships/hyperlink" TargetMode="External"></Relationship><Relationship Id="rId33" Target="http://smartwebindonesia.com:5241/here/file/2800437@x_foto_sticker_edc" Type="http://schemas.openxmlformats.org/officeDocument/2006/relationships/hyperlink" TargetMode="External"></Relationship><Relationship Id="rId34" Target="http://smartwebindonesia.com:5241/here/file/2800437@x_foto_screen_guard" Type="http://schemas.openxmlformats.org/officeDocument/2006/relationships/hyperlink" TargetMode="External"></Relationship><Relationship Id="rId35" Target="http://smartwebindonesia.com:5241/here/file/2800437@x_foto_all_transaction" Type="http://schemas.openxmlformats.org/officeDocument/2006/relationships/hyperlink" TargetMode="External"></Relationship><Relationship Id="rId36" Target="http://smartwebindonesia.com:5241/here/file/2800437@x_foto_transaksi_bmri" Type="http://schemas.openxmlformats.org/officeDocument/2006/relationships/hyperlink" TargetMode="External"></Relationship><Relationship Id="rId37" Target="http://smartwebindonesia.com:5241/here/file/2800437@x_foto_transaksi_bni" Type="http://schemas.openxmlformats.org/officeDocument/2006/relationships/hyperlink" TargetMode="External"></Relationship><Relationship Id="rId38" Target="http://smartwebindonesia.com:5241/here/file/2800437@x_foto_transaksi_bri" Type="http://schemas.openxmlformats.org/officeDocument/2006/relationships/hyperlink" TargetMode="External"></Relationship><Relationship Id="rId39" Target="http://smartwebindonesia.com:5241/here/file/2800437@x_foto_transaksi_btn" Type="http://schemas.openxmlformats.org/officeDocument/2006/relationships/hyperlink" TargetMode="External"></Relationship><Relationship Id="rId40" Target="http://smartwebindonesia.com:5241/here/file/2800437@x_foto_transaksi_patch" Type="http://schemas.openxmlformats.org/officeDocument/2006/relationships/hyperlink" TargetMode="External"></Relationship><Relationship Id="rId41" Target="http://smartwebindonesia.com:5241/here/file/2800437@x_foto_screen_p2g" Type="http://schemas.openxmlformats.org/officeDocument/2006/relationships/hyperlink" TargetMode="External"></Relationship><Relationship Id="rId42" Target="http://smartwebindonesia.com:5241/here/file/2800437@x_foto_kontak_stiker_pic" Type="http://schemas.openxmlformats.org/officeDocument/2006/relationships/hyperlink" TargetMode="External"></Relationship><Relationship Id="rId43" Target="http://smartwebindonesia.com:5241/here/file/1626465@x_foto_bast" Type="http://schemas.openxmlformats.org/officeDocument/2006/relationships/hyperlink" TargetMode="External"></Relationship><Relationship Id="rId44" Target="http://smartwebindonesia.com:5241/here/file/1626465@x_foto_ceklis" Type="http://schemas.openxmlformats.org/officeDocument/2006/relationships/hyperlink" TargetMode="External"></Relationship><Relationship Id="rId45" Target="http://smartwebindonesia.com:5241/here/file/1626465@x_foto_edc" Type="http://schemas.openxmlformats.org/officeDocument/2006/relationships/hyperlink" TargetMode="External"></Relationship><Relationship Id="rId46" Target="http://smartwebindonesia.com:5241/here/file/1626465@x_foto_pic" Type="http://schemas.openxmlformats.org/officeDocument/2006/relationships/hyperlink" TargetMode="External"></Relationship><Relationship Id="rId47" Target="http://smartwebindonesia.com:5241/here/file/1626465@x_foto_setting" Type="http://schemas.openxmlformats.org/officeDocument/2006/relationships/hyperlink" TargetMode="External"></Relationship><Relationship Id="rId48" Target="http://smartwebindonesia.com:5241/here/file/1626465@x_foto_thermal" Type="http://schemas.openxmlformats.org/officeDocument/2006/relationships/hyperlink" TargetMode="External"></Relationship><Relationship Id="rId49" Target="http://smartwebindonesia.com:5241/here/file/1626465@x_foto_toko" Type="http://schemas.openxmlformats.org/officeDocument/2006/relationships/hyperlink" TargetMode="External"></Relationship><Relationship Id="rId50" Target="http://smartwebindonesia.com:5241/here/file/1626465@x_foto_training" Type="http://schemas.openxmlformats.org/officeDocument/2006/relationships/hyperlink" TargetMode="External"></Relationship><Relationship Id="rId51" Target="http://smartwebindonesia.com:5241/here/file/1626465@x_foto_transaksi" Type="http://schemas.openxmlformats.org/officeDocument/2006/relationships/hyperlink" TargetMode="External"></Relationship><Relationship Id="rId52" Target="http://smartwebindonesia.com:5241/here/file/1626465@x_tanda_tangan_pic" Type="http://schemas.openxmlformats.org/officeDocument/2006/relationships/hyperlink" TargetMode="External"></Relationship><Relationship Id="rId53" Target="http://smartwebindonesia.com:5241/here/file/1626465@x_tanda_tangan_teknisi" Type="http://schemas.openxmlformats.org/officeDocument/2006/relationships/hyperlink" TargetMode="External"></Relationship><Relationship Id="rId54" Target="http://smartwebindonesia.com:5241/here/file/1626465@x_foto_sticker_edc" Type="http://schemas.openxmlformats.org/officeDocument/2006/relationships/hyperlink" TargetMode="External"></Relationship><Relationship Id="rId55" Target="http://smartwebindonesia.com:5241/here/file/1626465@x_foto_screen_guard" Type="http://schemas.openxmlformats.org/officeDocument/2006/relationships/hyperlink" TargetMode="External"></Relationship><Relationship Id="rId56" Target="http://smartwebindonesia.com:5241/here/file/1626465@x_foto_all_transaction" Type="http://schemas.openxmlformats.org/officeDocument/2006/relationships/hyperlink" TargetMode="External"></Relationship><Relationship Id="rId57" Target="http://smartwebindonesia.com:5241/here/file/1626465@x_foto_transaksi_bmri" Type="http://schemas.openxmlformats.org/officeDocument/2006/relationships/hyperlink" TargetMode="External"></Relationship><Relationship Id="rId58" Target="http://smartwebindonesia.com:5241/here/file/1626465@x_foto_transaksi_bni" Type="http://schemas.openxmlformats.org/officeDocument/2006/relationships/hyperlink" TargetMode="External"></Relationship><Relationship Id="rId59" Target="http://smartwebindonesia.com:5241/here/file/1626465@x_foto_transaksi_bri" Type="http://schemas.openxmlformats.org/officeDocument/2006/relationships/hyperlink" TargetMode="External"></Relationship><Relationship Id="rId60" Target="http://smartwebindonesia.com:5241/here/file/1626465@x_foto_transaksi_btn" Type="http://schemas.openxmlformats.org/officeDocument/2006/relationships/hyperlink" TargetMode="External"></Relationship><Relationship Id="rId61" Target="http://smartwebindonesia.com:5241/here/file/1626465@x_foto_transaksi_patch" Type="http://schemas.openxmlformats.org/officeDocument/2006/relationships/hyperlink" TargetMode="External"></Relationship><Relationship Id="rId62" Target="http://smartwebindonesia.com:5241/here/file/1626465@x_foto_screen_p2g" Type="http://schemas.openxmlformats.org/officeDocument/2006/relationships/hyperlink" TargetMode="External"></Relationship><Relationship Id="rId63" Target="http://smartwebindonesia.com:5241/here/file/1626465@x_foto_kontak_stiker_pic"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http://smartwebindonesia.com:5241/here/file/1648532@x_foto_bast" Type="http://schemas.openxmlformats.org/officeDocument/2006/relationships/hyperlink" TargetMode="External"></Relationship><Relationship Id="rId2" Target="http://smartwebindonesia.com:5241/here/file/1648532@x_foto_ceklis" Type="http://schemas.openxmlformats.org/officeDocument/2006/relationships/hyperlink" TargetMode="External"></Relationship><Relationship Id="rId3" Target="http://smartwebindonesia.com:5241/here/file/1648532@x_foto_edc" Type="http://schemas.openxmlformats.org/officeDocument/2006/relationships/hyperlink" TargetMode="External"></Relationship><Relationship Id="rId4" Target="http://smartwebindonesia.com:5241/here/file/1648532@x_foto_pic" Type="http://schemas.openxmlformats.org/officeDocument/2006/relationships/hyperlink" TargetMode="External"></Relationship><Relationship Id="rId5" Target="http://smartwebindonesia.com:5241/here/file/1648532@x_foto_setting" Type="http://schemas.openxmlformats.org/officeDocument/2006/relationships/hyperlink" TargetMode="External"></Relationship><Relationship Id="rId6" Target="http://smartwebindonesia.com:5241/here/file/1648532@x_foto_thermal" Type="http://schemas.openxmlformats.org/officeDocument/2006/relationships/hyperlink" TargetMode="External"></Relationship><Relationship Id="rId7" Target="http://smartwebindonesia.com:5241/here/file/1648532@x_foto_toko" Type="http://schemas.openxmlformats.org/officeDocument/2006/relationships/hyperlink" TargetMode="External"></Relationship><Relationship Id="rId8" Target="http://smartwebindonesia.com:5241/here/file/1648532@x_foto_training" Type="http://schemas.openxmlformats.org/officeDocument/2006/relationships/hyperlink" TargetMode="External"></Relationship><Relationship Id="rId9" Target="http://smartwebindonesia.com:5241/here/file/1648532@x_foto_transaksi" Type="http://schemas.openxmlformats.org/officeDocument/2006/relationships/hyperlink" TargetMode="External"></Relationship><Relationship Id="rId10" Target="http://smartwebindonesia.com:5241/here/file/1648532@x_tanda_tangan_pic" Type="http://schemas.openxmlformats.org/officeDocument/2006/relationships/hyperlink" TargetMode="External"></Relationship><Relationship Id="rId11" Target="http://smartwebindonesia.com:5241/here/file/1648532@x_tanda_tangan_teknisi" Type="http://schemas.openxmlformats.org/officeDocument/2006/relationships/hyperlink" TargetMode="External"></Relationship><Relationship Id="rId12" Target="http://smartwebindonesia.com:5241/here/file/1648532@x_foto_sticker_edc" Type="http://schemas.openxmlformats.org/officeDocument/2006/relationships/hyperlink" TargetMode="External"></Relationship><Relationship Id="rId13" Target="http://smartwebindonesia.com:5241/here/file/1648532@x_foto_screen_guard" Type="http://schemas.openxmlformats.org/officeDocument/2006/relationships/hyperlink" TargetMode="External"></Relationship><Relationship Id="rId14" Target="http://smartwebindonesia.com:5241/here/file/1648532@x_foto_all_transaction" Type="http://schemas.openxmlformats.org/officeDocument/2006/relationships/hyperlink" TargetMode="External"></Relationship><Relationship Id="rId15" Target="http://smartwebindonesia.com:5241/here/file/1648532@x_foto_transaksi_bmri" Type="http://schemas.openxmlformats.org/officeDocument/2006/relationships/hyperlink" TargetMode="External"></Relationship><Relationship Id="rId16" Target="http://smartwebindonesia.com:5241/here/file/1648532@x_foto_transaksi_bni" Type="http://schemas.openxmlformats.org/officeDocument/2006/relationships/hyperlink" TargetMode="External"></Relationship><Relationship Id="rId17" Target="http://smartwebindonesia.com:5241/here/file/1648532@x_foto_transaksi_bri" Type="http://schemas.openxmlformats.org/officeDocument/2006/relationships/hyperlink" TargetMode="External"></Relationship><Relationship Id="rId18" Target="http://smartwebindonesia.com:5241/here/file/1648532@x_foto_transaksi_btn" Type="http://schemas.openxmlformats.org/officeDocument/2006/relationships/hyperlink" TargetMode="External"></Relationship><Relationship Id="rId19" Target="http://smartwebindonesia.com:5241/here/file/1648532@x_foto_transaksi_patch" Type="http://schemas.openxmlformats.org/officeDocument/2006/relationships/hyperlink" TargetMode="External"></Relationship><Relationship Id="rId20" Target="http://smartwebindonesia.com:5241/here/file/1648532@x_foto_screen_p2g" Type="http://schemas.openxmlformats.org/officeDocument/2006/relationships/hyperlink" TargetMode="External"></Relationship><Relationship Id="rId21" Target="http://smartwebindonesia.com:5241/here/file/1648532@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row r="4">
      <c r="A4" s="1" t="s">
        <v>393</v>
      </c>
      <c r="B4" s="1" t="s">
        <v>394</v>
      </c>
      <c r="C4" s="1" t="s">
        <v>395</v>
      </c>
      <c r="D4" s="1" t="s">
        <v>396</v>
      </c>
      <c r="E4" s="1" t="s">
        <v>374</v>
      </c>
      <c r="F4" s="1" t="s">
        <v>375</v>
      </c>
      <c r="G4" s="1" t="s">
        <v>376</v>
      </c>
      <c r="H4" t="str">
        <f>IFERROR(VLOOKUP(G4, EMPLOYEES!A:C, 2, FALSE), "N/A")</f>
      </c>
      <c r="I4" t="str">
        <f>IFERROR(VLOOKUP(G4, EMPLOYEES!A:C, 3, FALSE), "N/A")</f>
      </c>
      <c r="J4" s="1" t="s">
        <v>397</v>
      </c>
      <c r="K4" s="1" t="s">
        <v>398</v>
      </c>
      <c r="L4" s="1" t="s">
        <v>379</v>
      </c>
      <c r="M4" s="1" t="s">
        <v>380</v>
      </c>
      <c r="N4" s="1" t="s">
        <v>399</v>
      </c>
      <c r="O4" s="1" t="s">
        <v>382</v>
      </c>
      <c r="P4" s="1" t="s">
        <v>400</v>
      </c>
      <c r="Q4" s="1" t="s">
        <v>401</v>
      </c>
      <c r="R4" s="1" t="s">
        <v>402</v>
      </c>
      <c r="S4" s="1" t="s">
        <v>386</v>
      </c>
      <c r="T4" s="1" t="s">
        <v>63</v>
      </c>
      <c r="U4" s="1" t="s">
        <v>403</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405</v>
      </c>
    </row>
    <row r="2">
      <c r="K2" s="2" t="s">
        <v>406</v>
      </c>
      <c r="L2" s="2" t="s">
        <v>407</v>
      </c>
      <c r="M2" s="2" t="s">
        <v>408</v>
      </c>
    </row>
    <row r="3">
      <c r="K3" t="s">
        <v>409</v>
      </c>
      <c r="L3" s="1">
        <v>1</v>
      </c>
      <c r="M3" t="s">
        <v>415</v>
      </c>
    </row>
    <row r="4">
      <c r="K4" t="s">
        <v>410</v>
      </c>
      <c r="L4" s="1">
        <v>1</v>
      </c>
      <c r="M4" t="s">
        <v>416</v>
      </c>
    </row>
    <row r="5">
      <c r="K5" t="s">
        <v>411</v>
      </c>
      <c r="L5" s="1">
        <v>3</v>
      </c>
      <c r="M5" t="s">
        <v>417</v>
      </c>
    </row>
    <row r="6">
      <c r="K6" t="s">
        <v>412</v>
      </c>
      <c r="L6" s="1" t="str">
        <f>=SUM(L3:L5)</f>
      </c>
      <c r="M6" t="s">
        <v>418</v>
      </c>
    </row>
    <row r="7">
      <c r="K7" t="s">
        <v>413</v>
      </c>
      <c r="L7" s="1">
        <v>1</v>
      </c>
      <c r="M7" t="s">
        <v>419</v>
      </c>
    </row>
    <row r="8">
      <c r="K8" s="3" t="s">
        <v>414</v>
      </c>
      <c r="L8" s="4" t="str">
        <f>=L5/L6</f>
      </c>
      <c r="M8" t="s">
        <v>420</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421</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 customWidth="true" max="37" min="17" width="35"/>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354</v>
      </c>
      <c r="P1" s="1" t="s">
        <v>369</v>
      </c>
      <c r="Q1" s="1" t="s">
        <v>429</v>
      </c>
      <c r="R1" s="1" t="s">
        <v>430</v>
      </c>
      <c r="S1" s="1" t="s">
        <v>431</v>
      </c>
      <c r="T1" s="1" t="s">
        <v>432</v>
      </c>
      <c r="U1" s="1" t="s">
        <v>433</v>
      </c>
      <c r="V1" s="1" t="s">
        <v>434</v>
      </c>
      <c r="W1" s="1" t="s">
        <v>435</v>
      </c>
      <c r="X1" s="1" t="s">
        <v>436</v>
      </c>
      <c r="Y1" s="1" t="s">
        <v>437</v>
      </c>
      <c r="Z1" s="1" t="s">
        <v>438</v>
      </c>
      <c r="AA1" s="1" t="s">
        <v>439</v>
      </c>
      <c r="AB1" s="1" t="s">
        <v>440</v>
      </c>
      <c r="AC1" s="1" t="s">
        <v>441</v>
      </c>
      <c r="AD1" s="1" t="s">
        <v>442</v>
      </c>
      <c r="AE1" s="1" t="s">
        <v>443</v>
      </c>
      <c r="AF1" s="1" t="s">
        <v>444</v>
      </c>
      <c r="AG1" s="1" t="s">
        <v>445</v>
      </c>
      <c r="AH1" s="1" t="s">
        <v>446</v>
      </c>
      <c r="AI1" s="1" t="s">
        <v>447</v>
      </c>
      <c r="AJ1" s="1" t="s">
        <v>448</v>
      </c>
      <c r="AK1" s="1" t="s">
        <v>449</v>
      </c>
    </row>
    <row r="2">
      <c r="A2" s="1" t="s">
        <v>450</v>
      </c>
      <c r="B2" s="1" t="s">
        <v>63</v>
      </c>
      <c r="C2" s="1" t="s">
        <v>63</v>
      </c>
      <c r="D2" s="1" t="s">
        <v>63</v>
      </c>
      <c r="E2" s="1" t="s">
        <v>451</v>
      </c>
      <c r="F2" s="1" t="s">
        <v>63</v>
      </c>
      <c r="G2" s="1" t="s">
        <v>63</v>
      </c>
      <c r="H2" s="1" t="s">
        <v>63</v>
      </c>
      <c r="I2" s="1" t="s">
        <v>63</v>
      </c>
      <c r="J2" s="1" t="s">
        <v>63</v>
      </c>
      <c r="K2" s="1" t="s">
        <v>63</v>
      </c>
      <c r="L2" s="1" t="s">
        <v>452</v>
      </c>
      <c r="M2" s="1" t="s">
        <v>63</v>
      </c>
      <c r="N2" s="1" t="s">
        <v>63</v>
      </c>
      <c r="O2" s="1" t="s">
        <v>453</v>
      </c>
      <c r="P2" s="1" t="s">
        <v>454</v>
      </c>
      <c r="Q2" s="1" t="s">
        <v>455</v>
      </c>
      <c r="R2" s="1" t="s">
        <v>456</v>
      </c>
      <c r="S2" s="1" t="s">
        <v>457</v>
      </c>
      <c r="T2" s="1" t="s">
        <v>458</v>
      </c>
      <c r="U2" s="1" t="s">
        <v>459</v>
      </c>
      <c r="V2" s="1" t="s">
        <v>460</v>
      </c>
      <c r="W2" s="1" t="s">
        <v>461</v>
      </c>
      <c r="X2" s="1" t="s">
        <v>462</v>
      </c>
      <c r="Y2" s="1" t="s">
        <v>463</v>
      </c>
      <c r="Z2" s="1" t="s">
        <v>464</v>
      </c>
      <c r="AA2" s="1" t="s">
        <v>465</v>
      </c>
      <c r="AB2" s="1" t="s">
        <v>466</v>
      </c>
      <c r="AC2" s="1" t="s">
        <v>467</v>
      </c>
      <c r="AD2" s="1" t="s">
        <v>468</v>
      </c>
      <c r="AE2" s="1" t="s">
        <v>469</v>
      </c>
      <c r="AF2" s="1" t="s">
        <v>470</v>
      </c>
      <c r="AG2" s="1" t="s">
        <v>471</v>
      </c>
      <c r="AH2" s="1" t="s">
        <v>472</v>
      </c>
      <c r="AI2" s="1" t="s">
        <v>473</v>
      </c>
      <c r="AJ2" s="1" t="s">
        <v>474</v>
      </c>
      <c r="AK2" s="1" t="s">
        <v>475</v>
      </c>
    </row>
    <row r="3">
      <c r="A3" s="1" t="s">
        <v>476</v>
      </c>
      <c r="B3" s="1" t="s">
        <v>477</v>
      </c>
      <c r="C3" s="1" t="s">
        <v>478</v>
      </c>
      <c r="D3" s="1" t="s">
        <v>479</v>
      </c>
      <c r="E3" s="1" t="s">
        <v>382</v>
      </c>
      <c r="F3" s="1" t="s">
        <v>379</v>
      </c>
      <c r="G3" s="1" t="s">
        <v>380</v>
      </c>
      <c r="H3" s="1" t="s">
        <v>399</v>
      </c>
      <c r="I3" s="1" t="s">
        <v>480</v>
      </c>
      <c r="J3" s="1" t="s">
        <v>481</v>
      </c>
      <c r="K3" s="1" t="s">
        <v>482</v>
      </c>
      <c r="L3" s="1" t="s">
        <v>382</v>
      </c>
      <c r="M3" s="1" t="s">
        <v>483</v>
      </c>
      <c r="N3" s="1" t="s">
        <v>376</v>
      </c>
      <c r="O3" s="1" t="s">
        <v>484</v>
      </c>
      <c r="P3" s="1" t="s">
        <v>485</v>
      </c>
      <c r="Q3" s="1" t="s">
        <v>455</v>
      </c>
      <c r="R3" s="1" t="s">
        <v>456</v>
      </c>
      <c r="S3" s="1" t="s">
        <v>457</v>
      </c>
      <c r="T3" s="1" t="s">
        <v>458</v>
      </c>
      <c r="U3" s="1" t="s">
        <v>459</v>
      </c>
      <c r="V3" s="1" t="s">
        <v>460</v>
      </c>
      <c r="W3" s="1" t="s">
        <v>461</v>
      </c>
      <c r="X3" s="1" t="s">
        <v>462</v>
      </c>
      <c r="Y3" s="1" t="s">
        <v>463</v>
      </c>
      <c r="Z3" s="1" t="s">
        <v>464</v>
      </c>
      <c r="AA3" s="1" t="s">
        <v>465</v>
      </c>
      <c r="AB3" s="1" t="s">
        <v>466</v>
      </c>
      <c r="AC3" s="1" t="s">
        <v>467</v>
      </c>
      <c r="AD3" s="1" t="s">
        <v>468</v>
      </c>
      <c r="AE3" s="1" t="s">
        <v>469</v>
      </c>
      <c r="AF3" s="1" t="s">
        <v>470</v>
      </c>
      <c r="AG3" s="1" t="s">
        <v>471</v>
      </c>
      <c r="AH3" s="1" t="s">
        <v>472</v>
      </c>
      <c r="AI3" s="1" t="s">
        <v>473</v>
      </c>
      <c r="AJ3" s="1" t="s">
        <v>474</v>
      </c>
      <c r="AK3" s="1" t="s">
        <v>475</v>
      </c>
    </row>
    <row r="4">
      <c r="A4" s="1" t="s">
        <v>486</v>
      </c>
      <c r="B4" s="1" t="s">
        <v>487</v>
      </c>
      <c r="C4" s="1" t="s">
        <v>488</v>
      </c>
      <c r="D4" s="1" t="s">
        <v>489</v>
      </c>
      <c r="E4" s="1" t="s">
        <v>490</v>
      </c>
      <c r="F4" s="1" t="s">
        <v>379</v>
      </c>
      <c r="G4" s="1" t="s">
        <v>491</v>
      </c>
      <c r="H4" s="1" t="s">
        <v>492</v>
      </c>
      <c r="I4" s="1" t="s">
        <v>493</v>
      </c>
      <c r="J4" s="1" t="s">
        <v>494</v>
      </c>
      <c r="K4" s="1" t="s">
        <v>495</v>
      </c>
      <c r="L4" s="1" t="s">
        <v>496</v>
      </c>
      <c r="M4" s="1" t="s">
        <v>497</v>
      </c>
      <c r="N4" s="1" t="s">
        <v>376</v>
      </c>
      <c r="O4" s="1" t="s">
        <v>498</v>
      </c>
      <c r="P4" s="1" t="s">
        <v>63</v>
      </c>
      <c r="Q4" s="1" t="s">
        <v>455</v>
      </c>
      <c r="R4" s="1" t="s">
        <v>456</v>
      </c>
      <c r="S4" s="1" t="s">
        <v>457</v>
      </c>
      <c r="T4" s="1" t="s">
        <v>458</v>
      </c>
      <c r="U4" s="1" t="s">
        <v>459</v>
      </c>
      <c r="V4" s="1" t="s">
        <v>460</v>
      </c>
      <c r="W4" s="1" t="s">
        <v>461</v>
      </c>
      <c r="X4" s="1" t="s">
        <v>462</v>
      </c>
      <c r="Y4" s="1" t="s">
        <v>463</v>
      </c>
      <c r="Z4" s="1" t="s">
        <v>464</v>
      </c>
      <c r="AA4" s="1" t="s">
        <v>465</v>
      </c>
      <c r="AB4" s="1" t="s">
        <v>466</v>
      </c>
      <c r="AC4" s="1" t="s">
        <v>467</v>
      </c>
      <c r="AD4" s="1" t="s">
        <v>468</v>
      </c>
      <c r="AE4" s="1" t="s">
        <v>469</v>
      </c>
      <c r="AF4" s="1" t="s">
        <v>470</v>
      </c>
      <c r="AG4" s="1" t="s">
        <v>471</v>
      </c>
      <c r="AH4" s="1" t="s">
        <v>472</v>
      </c>
      <c r="AI4" s="1" t="s">
        <v>473</v>
      </c>
      <c r="AJ4" s="1" t="s">
        <v>474</v>
      </c>
      <c r="AK4" s="1" t="s">
        <v>475</v>
      </c>
    </row>
  </sheetData>
  <autoFilter ref="$A$1:$AK$1"/>
  <hyperlinks>
    <hyperlink ref="Q2" r:id="rId1"/>
    <hyperlink ref="R2" r:id="rId2"/>
    <hyperlink ref="S2" r:id="rId3"/>
    <hyperlink ref="T2" r:id="rId4"/>
    <hyperlink ref="U2" r:id="rId5"/>
    <hyperlink ref="V2" r:id="rId6"/>
    <hyperlink ref="W2" r:id="rId7"/>
    <hyperlink ref="X2" r:id="rId8"/>
    <hyperlink ref="Y2" r:id="rId9"/>
    <hyperlink ref="Z2" r:id="rId10"/>
    <hyperlink ref="AA2" r:id="rId11"/>
    <hyperlink ref="AB2" r:id="rId12"/>
    <hyperlink ref="AC2" r:id="rId13"/>
    <hyperlink ref="AD2" r:id="rId14"/>
    <hyperlink ref="AE2" r:id="rId15"/>
    <hyperlink ref="AF2" r:id="rId16"/>
    <hyperlink ref="AG2" r:id="rId17"/>
    <hyperlink ref="AH2" r:id="rId18"/>
    <hyperlink ref="AI2" r:id="rId19"/>
    <hyperlink ref="AJ2" r:id="rId20"/>
    <hyperlink ref="AK2" r:id="rId21"/>
    <hyperlink ref="Q3" r:id="rId22"/>
    <hyperlink ref="R3" r:id="rId23"/>
    <hyperlink ref="S3" r:id="rId24"/>
    <hyperlink ref="T3" r:id="rId25"/>
    <hyperlink ref="U3" r:id="rId26"/>
    <hyperlink ref="V3" r:id="rId27"/>
    <hyperlink ref="W3" r:id="rId28"/>
    <hyperlink ref="X3" r:id="rId29"/>
    <hyperlink ref="Y3" r:id="rId30"/>
    <hyperlink ref="Z3" r:id="rId31"/>
    <hyperlink ref="AA3" r:id="rId32"/>
    <hyperlink ref="AB3" r:id="rId33"/>
    <hyperlink ref="AC3" r:id="rId34"/>
    <hyperlink ref="AD3" r:id="rId35"/>
    <hyperlink ref="AE3" r:id="rId36"/>
    <hyperlink ref="AF3" r:id="rId37"/>
    <hyperlink ref="AG3" r:id="rId38"/>
    <hyperlink ref="AH3" r:id="rId39"/>
    <hyperlink ref="AI3" r:id="rId40"/>
    <hyperlink ref="AJ3" r:id="rId41"/>
    <hyperlink ref="AK3" r:id="rId42"/>
    <hyperlink ref="Q4" r:id="rId43"/>
    <hyperlink ref="R4" r:id="rId44"/>
    <hyperlink ref="S4" r:id="rId45"/>
    <hyperlink ref="T4" r:id="rId46"/>
    <hyperlink ref="U4" r:id="rId47"/>
    <hyperlink ref="V4" r:id="rId48"/>
    <hyperlink ref="W4" r:id="rId49"/>
    <hyperlink ref="X4" r:id="rId50"/>
    <hyperlink ref="Y4" r:id="rId51"/>
    <hyperlink ref="Z4" r:id="rId52"/>
    <hyperlink ref="AA4" r:id="rId53"/>
    <hyperlink ref="AB4" r:id="rId54"/>
    <hyperlink ref="AC4" r:id="rId55"/>
    <hyperlink ref="AD4" r:id="rId56"/>
    <hyperlink ref="AE4" r:id="rId57"/>
    <hyperlink ref="AF4" r:id="rId58"/>
    <hyperlink ref="AG4" r:id="rId59"/>
    <hyperlink ref="AH4" r:id="rId60"/>
    <hyperlink ref="AI4" r:id="rId61"/>
    <hyperlink ref="AJ4" r:id="rId62"/>
    <hyperlink ref="AK4" r:id="rId63"/>
  </hyperlinks>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8" min="18" width="35"/>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366</v>
      </c>
      <c r="P1" s="1" t="s">
        <v>354</v>
      </c>
      <c r="Q1" s="1" t="s">
        <v>369</v>
      </c>
      <c r="R1" s="1" t="s">
        <v>429</v>
      </c>
      <c r="S1" s="1" t="s">
        <v>430</v>
      </c>
      <c r="T1" s="1" t="s">
        <v>431</v>
      </c>
      <c r="U1" s="1" t="s">
        <v>432</v>
      </c>
      <c r="V1" s="1" t="s">
        <v>433</v>
      </c>
      <c r="W1" s="1" t="s">
        <v>434</v>
      </c>
      <c r="X1" s="1" t="s">
        <v>435</v>
      </c>
      <c r="Y1" s="1" t="s">
        <v>436</v>
      </c>
      <c r="Z1" s="1" t="s">
        <v>437</v>
      </c>
      <c r="AA1" s="1" t="s">
        <v>438</v>
      </c>
      <c r="AB1" s="1" t="s">
        <v>439</v>
      </c>
      <c r="AC1" s="1" t="s">
        <v>440</v>
      </c>
      <c r="AD1" s="1" t="s">
        <v>441</v>
      </c>
      <c r="AE1" s="1" t="s">
        <v>442</v>
      </c>
      <c r="AF1" s="1" t="s">
        <v>443</v>
      </c>
      <c r="AG1" s="1" t="s">
        <v>444</v>
      </c>
      <c r="AH1" s="1" t="s">
        <v>445</v>
      </c>
      <c r="AI1" s="1" t="s">
        <v>446</v>
      </c>
      <c r="AJ1" s="1" t="s">
        <v>447</v>
      </c>
      <c r="AK1" s="1" t="s">
        <v>448</v>
      </c>
      <c r="AL1" s="1" t="s">
        <v>449</v>
      </c>
    </row>
    <row r="2">
      <c r="A2" s="1" t="s">
        <v>499</v>
      </c>
      <c r="B2" s="1" t="s">
        <v>500</v>
      </c>
      <c r="C2" s="1" t="s">
        <v>501</v>
      </c>
      <c r="D2" s="1" t="s">
        <v>502</v>
      </c>
      <c r="E2" s="1" t="s">
        <v>382</v>
      </c>
      <c r="F2" s="1" t="s">
        <v>379</v>
      </c>
      <c r="G2" s="1" t="s">
        <v>380</v>
      </c>
      <c r="H2" s="1" t="s">
        <v>381</v>
      </c>
      <c r="I2" s="1" t="s">
        <v>503</v>
      </c>
      <c r="J2" s="1" t="s">
        <v>481</v>
      </c>
      <c r="K2" s="1" t="s">
        <v>400</v>
      </c>
      <c r="L2" s="1" t="s">
        <v>382</v>
      </c>
      <c r="M2" s="1" t="s">
        <v>483</v>
      </c>
      <c r="N2" s="1" t="s">
        <v>376</v>
      </c>
      <c r="O2" s="1" t="s">
        <v>504</v>
      </c>
      <c r="P2" s="1" t="s">
        <v>505</v>
      </c>
      <c r="Q2" s="1" t="s">
        <v>63</v>
      </c>
      <c r="R2" s="1" t="s">
        <v>455</v>
      </c>
      <c r="S2" s="1" t="s">
        <v>456</v>
      </c>
      <c r="T2" s="1" t="s">
        <v>457</v>
      </c>
      <c r="U2" s="1" t="s">
        <v>458</v>
      </c>
      <c r="V2" s="1" t="s">
        <v>459</v>
      </c>
      <c r="W2" s="1" t="s">
        <v>460</v>
      </c>
      <c r="X2" s="1" t="s">
        <v>461</v>
      </c>
      <c r="Y2" s="1" t="s">
        <v>462</v>
      </c>
      <c r="Z2" s="1" t="s">
        <v>463</v>
      </c>
      <c r="AA2" s="1" t="s">
        <v>464</v>
      </c>
      <c r="AB2" s="1" t="s">
        <v>465</v>
      </c>
      <c r="AC2" s="1" t="s">
        <v>466</v>
      </c>
      <c r="AD2" s="1" t="s">
        <v>467</v>
      </c>
      <c r="AE2" s="1" t="s">
        <v>468</v>
      </c>
      <c r="AF2" s="1" t="s">
        <v>469</v>
      </c>
      <c r="AG2" s="1" t="s">
        <v>470</v>
      </c>
      <c r="AH2" s="1" t="s">
        <v>471</v>
      </c>
      <c r="AI2" s="1" t="s">
        <v>472</v>
      </c>
      <c r="AJ2" s="1" t="s">
        <v>473</v>
      </c>
      <c r="AK2" s="1" t="s">
        <v>474</v>
      </c>
      <c r="AL2" s="1" t="s">
        <v>475</v>
      </c>
    </row>
  </sheetData>
  <autoFilter ref="$A$1:$AL$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AL2" r:id="rId21"/>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506</v>
      </c>
      <c r="B1" s="1" t="s">
        <v>507</v>
      </c>
      <c r="C1" s="1" t="s">
        <v>508</v>
      </c>
      <c r="D1" s="1" t="s">
        <v>509</v>
      </c>
      <c r="E1" s="1" t="s">
        <v>510</v>
      </c>
      <c r="F1" s="1" t="s">
        <v>511</v>
      </c>
      <c r="G1" s="1" t="s">
        <v>512</v>
      </c>
      <c r="H1" s="1" t="s">
        <v>513</v>
      </c>
      <c r="I1" s="1" t="s">
        <v>514</v>
      </c>
      <c r="J1" s="1" t="s">
        <v>515</v>
      </c>
      <c r="K1" s="1" t="s">
        <v>516</v>
      </c>
      <c r="L1" s="1" t="s">
        <v>517</v>
      </c>
      <c r="M1" s="1" t="s">
        <v>518</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