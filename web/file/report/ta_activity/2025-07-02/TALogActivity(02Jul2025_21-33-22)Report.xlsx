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<sst xmlns="http://schemas.openxmlformats.org/spreadsheetml/2006/main" count="519" uniqueCount="519">
  <si>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</si>
  <si>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</si>
  <si>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</si>
  <si>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</si>
  <si>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</si>
  <si>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</si>
  <si>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</si>
  <si>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</si>
  <si>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</si>
  <si>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</si>
  <si>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</si>
  <si>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</si>
  <si>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</si>
  <si>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</si>
  <si>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</si>
  <si>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</si>
  <si>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</si>
  <si>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</si>
  <si>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</si>
  <si>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</si>
  <si>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</si>
  <si>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</si>
  <si>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</si>
  <si>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</si>
  <si>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</si>
  <si>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</si>
  <si>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</si>
  <si>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</si>
  <si>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</si>
  <si>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</si>
  <si>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</si>
  <si>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</si>
  <si>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</si>
  <si>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</si>
  <si>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</si>
  <si>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</si>
  <si>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</si>
  <si>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</si>
  <si>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</si>
  <si>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</si>
  <si>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</si>
  <si>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</si>
  <si>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</si>
  <si>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</si>
  <si>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</si>
  <si>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</si>
  <si>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</si>
  <si>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</si>
  <si>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</si>
  <si>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</si>
  <si>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</si>
  <si>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</si>
  <si>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</si>
  <si>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</si>
  <si>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</si>
  <si>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</si>
  <si>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</si>
  <si>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</si>
  <si>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</si>
  <si>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</si>
  <si>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</si>
  <si>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</si>
  <si>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</si>
  <si>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</si>
  <si>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</si>
  <si>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</si>
  <si>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</si>
  <si>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</si>
  <si>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</si>
  <si>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</si>
  <si>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</si>
  <si>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</si>
  <si>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</si>
  <si>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</si>
  <si>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</si>
  <si>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</si>
  <si>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</si>
  <si>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</si>
  <si>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</si>
  <si>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</si>
  <si>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</si>
  <si>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</si>
  <si>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</si>
  <si>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</si>
  <si>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</si>
  <si>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</si>
  <si>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</si>
  <si>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</si>
  <si>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</si>
  <si>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</si>
  <si>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</si>
  <si>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</si>
  <si>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</si>
  <si>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</si>
  <si>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</si>
  <si>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</si>
  <si>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</si>
  <si>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</si>
  <si>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</si>
  <si>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</si>
  <si>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</si>
  <si>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</si>
  <si>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</si>
  <si>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</si>
  <si>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</si>
  <si>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</si>
  <si>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</si>
  <si>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</si>
  <si>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</si>
  <si>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</si>
  <si>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</si>
  <si>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</si>
  <si>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</si>
  <si>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</si>
  <si>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</si>
  <si>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</si>
  <si>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</si>
  <si>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</si>
  <si>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</si>
  <si>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</si>
  <si>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</si>
  <si>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</si>
  <si>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</si>
  <si>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</si>
  <si>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</si>
  <si>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</si>
  <si>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</si>
  <si>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</si>
  <si>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</si>
  <si>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</si>
  <si>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</si>
  <si>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</si>
  <si>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</si>
  <si>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</si>
  <si>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</si>
  <si>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</si>
  <si>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</si>
  <si>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</si>
  <si>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</si>
  <si>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</si>
  <si>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</si>
  <si>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</si>
  <si>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</si>
  <si>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</si>
  <si>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</si>
  <si>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</si>
  <si>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</si>
  <si>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</si>
  <si>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</si>
  <si>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</si>
  <si>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</si>
  <si>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</si>
  <si>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</si>
  <si>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</si>
  <si>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</si>
  <si>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</si>
  <si>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</si>
  <si>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</si>
  <si>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</si>
  <si>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</si>
  <si>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</si>
  <si>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</si>
  <si>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</si>
  <si>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</si>
  <si>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</si>
  <si>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</si>
  <si>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</si>
  <si>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</si>
  <si>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</si>
  <si>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</si>
  <si>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</si>
  <si>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</si>
  <si>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</si>
  <si>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</si>
  <si>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</si>
  <si>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</si>
  <si>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</si>
  <si>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</si>
  <si>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</si>
  <si>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</si>
  <si>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</si>
  <si>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</si>
  <si>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</si>
  <si>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</si>
  <si>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</si>
  <si>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</si>
  <si>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</si>
  <si>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</si>
  <si>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</si>
  <si>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</si>
  <si>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</si>
  <si>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</si>
  <si>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</si>
  <si>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</si>
  <si>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</si>
  <si>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</si>
  <si>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</si>
  <si>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</si>
  <si>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</si>
  <si>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</si>
  <si>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</si>
  <si>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</si>
  <si>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</si>
  <si>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</si>
  <si>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</si>
  <si>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</si>
  <si>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</si>
  <si>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</si>
  <si>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</si>
  <si>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</si>
  <si>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</si>
  <si>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</si>
  <si>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</si>
  <si>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</si>
  <si>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</si>
  <si>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</si>
  <si>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</si>
  <si>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</si>
  <si>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</si>
  <si>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</si>
  <si>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</si>
  <si>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</si>
  <si>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</si>
  <si>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</si>
  <si>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</si>
  <si>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</si>
  <si>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</si>
  <si>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</si>
  <si>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</si>
  <si>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</si>
  <si>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</si>
  <si>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</si>
  <si>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</si>
  <si>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</si>
  <si>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</si>
  <si>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</si>
  <si>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</si>
  <si>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</si>
  <si>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</si>
  <si>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</si>
  <si>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</si>
  <si>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</si>
  <si>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</si>
  <si>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</si>
  <si>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</si>
  <si>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</si>
  <si>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</si>
  <si>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</si>
  <si>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</si>
  <si>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</si>
  <si>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</si>
  <si>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</si>
  <si>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</si>
  <si>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</si>
  <si>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</si>
  <si>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</si>
  <si>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</si>
  <si>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</si>
  <si>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</si>
  <si>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</si>
  <si>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</si>
  <si>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</si>
  <si>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</si>
  <si>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</si>
  <si>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</si>
  <si>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</si>
  <si>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</si>
  <si>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</si>
  <si>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</si>
  <si>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</si>
  <si>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</si>
  <si>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</si>
  <si>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</si>
  <si>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</si>
  <si>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</si>
  <si>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</si>
  <si>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</si>
  <si>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</si>
  <si>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</si>
  <si>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</si>
  <si>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</si>
  <si>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</si>
  <si>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</si>
  <si>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</si>
  <si>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</si>
  <si>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</si>
  <si>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</si>
  <si>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</si>
  <si>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</si>
  <si>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</si>
  <si>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</si>
  <si>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</si>
  <si>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</si>
  <si>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</si>
  <si>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</si>
  <si>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</si>
  <si>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</si>
  <si>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</si>
  <si>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</si>
  <si>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</si>
  <si>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</si>
  <si>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</si>
  <si>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</si>
  <si>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</si>
  <si>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</si>
  <si>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</si>
  <si>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</si>
  <si>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</si>
  <si>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</si>
  <si>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</si>
  <si>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</si>
  <si>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</si>
  <si>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</si>
  <si>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</si>
  <si>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</si>
  <si>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</si>
  <si>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</si>
  <si>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</si>
  <si>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</si>
  <si>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</si>
  <si>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</si>
  <si>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</si>
  <si>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</si>
  <si>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</si>
  <si>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</si>
  <si>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</si>
  <si>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</si>
  <si>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</si>
  <si>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</si>
  <si>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</si>
  <si>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</si>
  <si>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</si>
  <si>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</si>
  <si>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</si>
  <si>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</si>
  <si>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</si>
  <si>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</si>
  <si>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</si>
  <si>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</si>
  <si>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</si>
  <si>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</si>
  <si>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</si>
  <si>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</si>
  <si>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</si>
  <si>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</si>
  <si>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</si>
  <si>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</si>
  <si>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</si>
  <si>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</si>
  <si>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</si>
  <si>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</si>
  <si>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</si>
  <si>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</si>
  <si>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</si>
  <si>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</si>
  <si>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</si>
  <si>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</si>
  <si>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</si>
  <si>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</si>
  <si>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</si>
  <si>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</si>
  <si>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</si>
  <si>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</si>
  <si>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</si>
  <si>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</si>
  <si>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</si>
  <si>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</si>
  <si>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</si>
  <si>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</si>
  <si>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</si>
  <si>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</si>
  <si>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</si>
  <si>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</si>
  <si>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</si>
  <si>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</si>
  <si>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</si>
  <si>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</si>
  <si>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</si>
  <si>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</si>
  <si>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</si>
  <si>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</si>
  <si>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</si>
  <si>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</si>
  <si>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</si>
  <si>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</si>
  <si>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</si>
  <si>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</si>
  <si>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</si>
  <si>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</si>
  <si>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</si>
  <si>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</si>
  <si>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</si>
  <si>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</si>
  <si>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2025-07-02 21:21:06</t>
  </si>
  <si>
    <t>2025-07-02 21:21:36</t>
  </si>
  <si>
    <t>00:00:30</t>
  </si>
  <si>
    <t>2025-06-11 19:14:57</t>
  </si>
  <si>
    <t>MTI-000111564</t>
  </si>
  <si>
    <t>Tess PM659</t>
  </si>
  <si>
    <t>2025-05-31 23:59:59</t>
  </si>
  <si>
    <t>[A00] Done</t>
  </si>
  <si>
    <t>error</t>
  </si>
  <si>
    <t>errors:Foto EDC Bermasalah,Foto Merchant Bermasalah,SN di foto tidak terbaca - mohon foto ulang</t>
  </si>
  <si>
    <t>Administrator - tes</t>
  </si>
  <si>
    <t>*Note: Date in Dashboard 2025-07-02</t>
  </si>
  <si>
    <r>
      <t xml:space="preserve">*Note: Date in Dashboard </t>
    </r>
    <r>
      <rPr>
        <b/>
        <color/>
      </rPr>
      <t>2025-07-02</t>
    </r>
  </si>
  <si>
    <t>Metric</t>
  </si>
  <si>
    <t>Value</t>
  </si>
  <si>
    <t>Description</t>
  </si>
  <si>
    <t>Total Pending Left</t>
  </si>
  <si>
    <t>Total Error Left</t>
  </si>
  <si>
    <t>Total Followed Up</t>
  </si>
  <si>
    <t>Total JO in Dashboard TA</t>
  </si>
  <si>
    <t>Total TA StandBy</t>
  </si>
  <si>
    <t>% Handled by TA</t>
  </si>
  <si>
    <t>Total data pending left in dashboard TA (Reason Code not A00)</t>
  </si>
  <si>
    <t>Total data with photo error by AI left in dashboard TA</t>
  </si>
  <si>
    <t>Total followed up pending &amp; error data by TA</t>
  </si>
  <si>
    <t>Total JO @02 July 2025</t>
  </si>
  <si>
    <t>Total person</t>
  </si>
  <si>
    <t>'=Followed Up / Total JO in Dashboard</t>
  </si>
  <si>
    <t>*Note: please select activity = edit to see the count of technician mismatch work</t>
  </si>
  <si>
    <t>ID Task</t>
  </si>
  <si>
    <t>SPK</t>
  </si>
  <si>
    <t>Received Date SPK</t>
  </si>
  <si>
    <t>Company</t>
  </si>
  <si>
    <t>Keterangan</t>
  </si>
  <si>
    <t>Merchant</t>
  </si>
  <si>
    <t>Teknisi</t>
  </si>
  <si>
    <t>re</t>
  </si>
  <si>
    <t>OVO</t>
  </si>
  <si>
    <t>adsf</t>
  </si>
  <si>
    <t>2025-02-03 15:38:48</t>
  </si>
  <si>
    <t>Administrator - test123 dicoba</t>
  </si>
  <si>
    <t>2800437</t>
  </si>
  <si>
    <t>MTI-000111563</t>
  </si>
  <si>
    <t>Tess PM658</t>
  </si>
  <si>
    <t>2025-05-20 10:00:00</t>
  </si>
  <si>
    <t>ghj</t>
  </si>
  <si>
    <t>Tes EDC</t>
  </si>
  <si>
    <t>[D01] Merchant - Address Not Found</t>
  </si>
  <si>
    <t>Rawamangun</t>
  </si>
  <si>
    <t>2025-06-12 02:10:03</t>
  </si>
  <si>
    <t>Administrator - Administrator - test nanti apakah ini akan difeedback2 ?</t>
  </si>
  <si>
    <t>1626465</t>
  </si>
  <si>
    <t>MDR-000063653</t>
  </si>
  <si>
    <t>PM Juni/MANDIRI-AGEN/2024/69525124</t>
  </si>
  <si>
    <t>2024-06-03 14:00:00</t>
  </si>
  <si>
    <t>MANDIRI</t>
  </si>
  <si>
    <t>MANDIRI Preventive Maintenance</t>
  </si>
  <si>
    <t>2024-06-30 23:59:59</t>
  </si>
  <si>
    <t>oke</t>
  </si>
  <si>
    <t>Berikut Yang harus di perhatikan untuk PM JUNI MANDIRI AGEN.  # Harap melakukan Test Tranksasi Rp. 5 WAJIB !!!  # Harap Update REASON CODE di sesuaikan dengan penulisan WO REMAKS nya.    1. Foto Test Transaksi Rp 5  2. Foto Agen/Merchant dan Plang Merchant  3. Foto EDC (Depan)  4. Foto EDC ( Belakang “SN EDC”)  5. Foto Lokasi Sekitar Merchant  6. Foto Name Tag Teknisi  7. Foto Meja Kasir Tempat EDC di Letakan  8 TTD PIC &amp; TTD TEKNISI</t>
  </si>
  <si>
    <t>[B01] Alamat tidak ditemukan</t>
  </si>
  <si>
    <t>69525124</t>
  </si>
  <si>
    <t>AGEN MANDIRI WARUNG APRILA</t>
  </si>
  <si>
    <t>2025-07-02 21:10:37</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</si>
  <si>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</si>
  <si>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</si>
  <si>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</si>
  <si>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</si>
  <si>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</si>
  <si>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</si>
  <si>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</si>
  <si>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</si>
  <si>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</si>
  <si>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</si>
  <si>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</si>
  <si>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</si>
  <si>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</si>
  <si>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</si>
  <si>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</si>
  <si>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</si>
  <si>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</si>
  <si>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</si>
  <si>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</si>
  <si>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</si>
  <si>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</si>
  <si>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1648532</t>
  </si>
  <si>
    <t>MTI-000111615</t>
  </si>
  <si>
    <t>Tess PM703</t>
  </si>
  <si>
    <t>2025-06-20 10:00:00</t>
  </si>
  <si>
    <t>ndndj</t>
  </si>
  <si>
    <t>errors:Foto BAST Bermasalah</t>
  </si>
  <si>
    <t>2025-07-02 21:32:55</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</si>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</sst>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1" fillId="0" borderId="0" xfId="0" applyFont="true" applyAlignment="false">
      <alignment/>
    </xf>
    <xf numFmtId="10" fontId="1" fillId="0" borderId="0" xfId="0" applyNumberFormat="true"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4"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J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1:33:22"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1:33:22"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1:33:22"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 Id="rId3" Target="http://smartwebindonesia.com:3405/projectTask/detailWO?wo_number=MTI-00011156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532@x_foto_ceklis" Type="http://schemas.openxmlformats.org/officeDocument/2006/relationships/hyperlink" TargetMode="External"></Relationship><Relationship Id="rId2" Target="http://smartwebindonesia.com:5241/here/file/1648532@x_foto_edc" Type="http://schemas.openxmlformats.org/officeDocument/2006/relationships/hyperlink" TargetMode="External"></Relationship><Relationship Id="rId3" Target="http://smartwebindonesia.com:5241/here/file/1648532@x_foto_pic" Type="http://schemas.openxmlformats.org/officeDocument/2006/relationships/hyperlink" TargetMode="External"></Relationship><Relationship Id="rId4" Target="http://smartwebindonesia.com:5241/here/file/1648532@x_foto_setting" Type="http://schemas.openxmlformats.org/officeDocument/2006/relationships/hyperlink" TargetMode="External"></Relationship><Relationship Id="rId5" Target="http://smartwebindonesia.com:5241/here/file/1648532@x_foto_thermal" Type="http://schemas.openxmlformats.org/officeDocument/2006/relationships/hyperlink" TargetMode="External"></Relationship><Relationship Id="rId6" Target="http://smartwebindonesia.com:5241/here/file/1648532@x_foto_toko" Type="http://schemas.openxmlformats.org/officeDocument/2006/relationships/hyperlink" TargetMode="External"></Relationship><Relationship Id="rId7" Target="http://smartwebindonesia.com:5241/here/file/1648532@x_foto_training" Type="http://schemas.openxmlformats.org/officeDocument/2006/relationships/hyperlink" TargetMode="External"></Relationship><Relationship Id="rId8" Target="http://smartwebindonesia.com:5241/here/file/1648532@x_foto_transaksi" Type="http://schemas.openxmlformats.org/officeDocument/2006/relationships/hyperlink" TargetMode="External"></Relationship><Relationship Id="rId9" Target="http://smartwebindonesia.com:5241/here/file/1648532@x_tanda_tangan_pic" Type="http://schemas.openxmlformats.org/officeDocument/2006/relationships/hyperlink" TargetMode="External"></Relationship><Relationship Id="rId10" Target="http://smartwebindonesia.com:5241/here/file/1648532@x_tanda_tangan_teknisi" Type="http://schemas.openxmlformats.org/officeDocument/2006/relationships/hyperlink" TargetMode="External"></Relationship><Relationship Id="rId11" Target="http://smartwebindonesia.com:5241/here/file/1648532@x_foto_sticker_edc" Type="http://schemas.openxmlformats.org/officeDocument/2006/relationships/hyperlink" TargetMode="External"></Relationship><Relationship Id="rId12" Target="http://smartwebindonesia.com:5241/here/file/1648532@x_foto_screen_guard" Type="http://schemas.openxmlformats.org/officeDocument/2006/relationships/hyperlink" TargetMode="External"></Relationship><Relationship Id="rId13" Target="http://smartwebindonesia.com:5241/here/file/1648532@x_foto_all_transaction" Type="http://schemas.openxmlformats.org/officeDocument/2006/relationships/hyperlink" TargetMode="External"></Relationship><Relationship Id="rId14" Target="http://smartwebindonesia.com:5241/here/file/1648532@x_foto_transaksi_bmri" Type="http://schemas.openxmlformats.org/officeDocument/2006/relationships/hyperlink" TargetMode="External"></Relationship><Relationship Id="rId15" Target="http://smartwebindonesia.com:5241/here/file/1648532@x_foto_transaksi_bni" Type="http://schemas.openxmlformats.org/officeDocument/2006/relationships/hyperlink" TargetMode="External"></Relationship><Relationship Id="rId16" Target="http://smartwebindonesia.com:5241/here/file/1648532@x_foto_transaksi_bri" Type="http://schemas.openxmlformats.org/officeDocument/2006/relationships/hyperlink" TargetMode="External"></Relationship><Relationship Id="rId17" Target="http://smartwebindonesia.com:5241/here/file/1648532@x_foto_transaksi_btn" Type="http://schemas.openxmlformats.org/officeDocument/2006/relationships/hyperlink" TargetMode="External"></Relationship><Relationship Id="rId18" Target="http://smartwebindonesia.com:5241/here/file/1648532@x_foto_transaksi_patch" Type="http://schemas.openxmlformats.org/officeDocument/2006/relationships/hyperlink" TargetMode="External"></Relationship><Relationship Id="rId19" Target="http://smartwebindonesia.com:5241/here/file/1648532@x_foto_screen_p2g" Type="http://schemas.openxmlformats.org/officeDocument/2006/relationships/hyperlink" TargetMode="External"></Relationship><Relationship Id="rId20" Target="http://smartwebindonesia.com:5241/here/file/1648532@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row r="4">
      <c r="A4" s="1" t="s">
        <v>393</v>
      </c>
      <c r="B4" s="1" t="s">
        <v>394</v>
      </c>
      <c r="C4" s="1" t="s">
        <v>395</v>
      </c>
      <c r="D4" s="1" t="s">
        <v>396</v>
      </c>
      <c r="E4" s="1" t="s">
        <v>374</v>
      </c>
      <c r="F4" s="1" t="s">
        <v>375</v>
      </c>
      <c r="G4" s="1" t="s">
        <v>376</v>
      </c>
      <c r="H4" t="str">
        <f>IFERROR(VLOOKUP(G4, EMPLOYEES!A:C, 2, FALSE), "N/A")</f>
      </c>
      <c r="I4" t="str">
        <f>IFERROR(VLOOKUP(G4, EMPLOYEES!A:C, 3, FALSE), "N/A")</f>
      </c>
      <c r="J4" s="1" t="s">
        <v>397</v>
      </c>
      <c r="K4" s="1" t="s">
        <v>398</v>
      </c>
      <c r="L4" s="1" t="s">
        <v>379</v>
      </c>
      <c r="M4" s="1" t="s">
        <v>380</v>
      </c>
      <c r="N4" s="1" t="s">
        <v>399</v>
      </c>
      <c r="O4" s="1" t="s">
        <v>382</v>
      </c>
      <c r="P4" s="1" t="s">
        <v>400</v>
      </c>
      <c r="Q4" s="1" t="s">
        <v>401</v>
      </c>
      <c r="R4" s="1" t="s">
        <v>402</v>
      </c>
      <c r="S4" s="1" t="s">
        <v>386</v>
      </c>
      <c r="T4" s="1" t="s">
        <v>63</v>
      </c>
      <c r="U4" s="1" t="s">
        <v>403</v>
      </c>
    </row>
  </sheetData>
  <autoFilter ref="$A$1:$U$1"/>
  <hyperlinks>
    <hyperlink ref="J2" r:id="rId1"/>
    <hyperlink ref="J3" r:id="rId2"/>
    <hyperlink ref="J4" r:id="rId3"/>
  </hyperlinks>
</worksheet>
</file>

<file path=xl/worksheets/sheet4.xml><?xml version="1.0" encoding="utf-8"?>
<worksheet xmlns="http://schemas.openxmlformats.org/spreadsheetml/2006/main">
  <dimension ref="A1"/>
  <sheetViews>
    <sheetView workbookViewId="0"/>
  </sheetViews>
  <cols>
    <col customWidth="true" max="1" min="1" width="42"/>
    <col customWidth="true" max="11" min="11" width="25"/>
    <col customWidth="true" max="12" min="12" width="14"/>
    <col customWidth="true" max="13" min="13" width="60"/>
  </cols>
  <sheetData>
    <row r="1">
      <c r="K1" t="s">
        <v>405</v>
      </c>
    </row>
    <row r="2">
      <c r="K2" s="2" t="s">
        <v>406</v>
      </c>
      <c r="L2" s="2" t="s">
        <v>407</v>
      </c>
      <c r="M2" s="2" t="s">
        <v>408</v>
      </c>
    </row>
    <row r="3">
      <c r="K3" t="s">
        <v>409</v>
      </c>
      <c r="L3" s="1">
        <v>1</v>
      </c>
      <c r="M3" t="s">
        <v>415</v>
      </c>
    </row>
    <row r="4">
      <c r="K4" t="s">
        <v>410</v>
      </c>
      <c r="L4" s="1">
        <v>1</v>
      </c>
      <c r="M4" t="s">
        <v>416</v>
      </c>
    </row>
    <row r="5">
      <c r="K5" t="s">
        <v>411</v>
      </c>
      <c r="L5" s="1">
        <v>3</v>
      </c>
      <c r="M5" t="s">
        <v>417</v>
      </c>
    </row>
    <row r="6">
      <c r="K6" t="s">
        <v>412</v>
      </c>
      <c r="L6" s="1" t="str">
        <f>=SUM(L3:L5)</f>
      </c>
      <c r="M6" t="s">
        <v>418</v>
      </c>
    </row>
    <row r="7">
      <c r="K7" t="s">
        <v>413</v>
      </c>
      <c r="L7" s="1">
        <v>1</v>
      </c>
      <c r="M7" t="s">
        <v>419</v>
      </c>
    </row>
    <row r="8">
      <c r="K8" s="3" t="s">
        <v>414</v>
      </c>
      <c r="L8" s="4" t="str">
        <f>=L5/L6</f>
      </c>
      <c r="M8" t="s">
        <v>420</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421</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354</v>
      </c>
      <c r="P1" s="1" t="s">
        <v>369</v>
      </c>
    </row>
    <row r="2">
      <c r="A2" s="1" t="s">
        <v>429</v>
      </c>
      <c r="B2" s="1" t="s">
        <v>63</v>
      </c>
      <c r="C2" s="1" t="s">
        <v>63</v>
      </c>
      <c r="D2" s="1" t="s">
        <v>63</v>
      </c>
      <c r="E2" s="1" t="s">
        <v>430</v>
      </c>
      <c r="F2" s="1" t="s">
        <v>63</v>
      </c>
      <c r="G2" s="1" t="s">
        <v>63</v>
      </c>
      <c r="H2" s="1" t="s">
        <v>63</v>
      </c>
      <c r="I2" s="1" t="s">
        <v>63</v>
      </c>
      <c r="J2" s="1" t="s">
        <v>63</v>
      </c>
      <c r="K2" s="1" t="s">
        <v>63</v>
      </c>
      <c r="L2" s="1" t="s">
        <v>431</v>
      </c>
      <c r="M2" s="1" t="s">
        <v>63</v>
      </c>
      <c r="N2" s="1" t="s">
        <v>63</v>
      </c>
      <c r="O2" s="1" t="s">
        <v>432</v>
      </c>
      <c r="P2" s="1" t="s">
        <v>433</v>
      </c>
    </row>
    <row r="3">
      <c r="A3" s="1" t="s">
        <v>434</v>
      </c>
      <c r="B3" s="1" t="s">
        <v>435</v>
      </c>
      <c r="C3" s="1" t="s">
        <v>436</v>
      </c>
      <c r="D3" s="1" t="s">
        <v>437</v>
      </c>
      <c r="E3" s="1" t="s">
        <v>382</v>
      </c>
      <c r="F3" s="1" t="s">
        <v>379</v>
      </c>
      <c r="G3" s="1" t="s">
        <v>380</v>
      </c>
      <c r="H3" s="1" t="s">
        <v>399</v>
      </c>
      <c r="I3" s="1" t="s">
        <v>438</v>
      </c>
      <c r="J3" s="1" t="s">
        <v>439</v>
      </c>
      <c r="K3" s="1" t="s">
        <v>440</v>
      </c>
      <c r="L3" s="1" t="s">
        <v>382</v>
      </c>
      <c r="M3" s="1" t="s">
        <v>441</v>
      </c>
      <c r="N3" s="1" t="s">
        <v>376</v>
      </c>
      <c r="O3" s="1" t="s">
        <v>442</v>
      </c>
      <c r="P3" s="1" t="s">
        <v>443</v>
      </c>
    </row>
    <row r="4">
      <c r="A4" s="1" t="s">
        <v>444</v>
      </c>
      <c r="B4" s="1" t="s">
        <v>445</v>
      </c>
      <c r="C4" s="1" t="s">
        <v>446</v>
      </c>
      <c r="D4" s="1" t="s">
        <v>447</v>
      </c>
      <c r="E4" s="1" t="s">
        <v>448</v>
      </c>
      <c r="F4" s="1" t="s">
        <v>379</v>
      </c>
      <c r="G4" s="1" t="s">
        <v>449</v>
      </c>
      <c r="H4" s="1" t="s">
        <v>450</v>
      </c>
      <c r="I4" s="1" t="s">
        <v>451</v>
      </c>
      <c r="J4" s="1" t="s">
        <v>452</v>
      </c>
      <c r="K4" s="1" t="s">
        <v>453</v>
      </c>
      <c r="L4" s="1" t="s">
        <v>454</v>
      </c>
      <c r="M4" s="1" t="s">
        <v>455</v>
      </c>
      <c r="N4" s="1" t="s">
        <v>376</v>
      </c>
      <c r="O4" s="1" t="s">
        <v>456</v>
      </c>
      <c r="P4" s="1" t="s">
        <v>63</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422</v>
      </c>
      <c r="B1" s="1" t="s">
        <v>358</v>
      </c>
      <c r="C1" s="1" t="s">
        <v>423</v>
      </c>
      <c r="D1" s="1" t="s">
        <v>424</v>
      </c>
      <c r="E1" s="1" t="s">
        <v>425</v>
      </c>
      <c r="F1" s="1" t="s">
        <v>360</v>
      </c>
      <c r="G1" s="1" t="s">
        <v>361</v>
      </c>
      <c r="H1" s="1" t="s">
        <v>362</v>
      </c>
      <c r="I1" s="1" t="s">
        <v>426</v>
      </c>
      <c r="J1" s="1" t="s">
        <v>408</v>
      </c>
      <c r="K1" s="1" t="s">
        <v>364</v>
      </c>
      <c r="L1" s="1" t="s">
        <v>363</v>
      </c>
      <c r="M1" s="1" t="s">
        <v>427</v>
      </c>
      <c r="N1" s="1" t="s">
        <v>428</v>
      </c>
      <c r="O1" s="1" t="s">
        <v>366</v>
      </c>
      <c r="P1" s="1" t="s">
        <v>354</v>
      </c>
      <c r="Q1" s="1" t="s">
        <v>369</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c r="AF1" s="1" t="s">
        <v>472</v>
      </c>
      <c r="AG1" s="1" t="s">
        <v>473</v>
      </c>
      <c r="AH1" s="1" t="s">
        <v>474</v>
      </c>
      <c r="AI1" s="1" t="s">
        <v>475</v>
      </c>
      <c r="AJ1" s="1" t="s">
        <v>476</v>
      </c>
      <c r="AK1" s="1" t="s">
        <v>477</v>
      </c>
    </row>
    <row r="2">
      <c r="A2" s="1" t="s">
        <v>478</v>
      </c>
      <c r="B2" s="1" t="s">
        <v>479</v>
      </c>
      <c r="C2" s="1" t="s">
        <v>480</v>
      </c>
      <c r="D2" s="1" t="s">
        <v>481</v>
      </c>
      <c r="E2" s="1" t="s">
        <v>382</v>
      </c>
      <c r="F2" s="1" t="s">
        <v>379</v>
      </c>
      <c r="G2" s="1" t="s">
        <v>380</v>
      </c>
      <c r="H2" s="1" t="s">
        <v>381</v>
      </c>
      <c r="I2" s="1" t="s">
        <v>482</v>
      </c>
      <c r="J2" s="1" t="s">
        <v>439</v>
      </c>
      <c r="K2" s="1" t="s">
        <v>400</v>
      </c>
      <c r="L2" s="1" t="s">
        <v>382</v>
      </c>
      <c r="M2" s="1" t="s">
        <v>441</v>
      </c>
      <c r="N2" s="1" t="s">
        <v>376</v>
      </c>
      <c r="O2" s="1" t="s">
        <v>483</v>
      </c>
      <c r="P2" s="1" t="s">
        <v>484</v>
      </c>
      <c r="Q2" s="1" t="s">
        <v>63</v>
      </c>
      <c r="R2" s="1" t="s">
        <v>486</v>
      </c>
      <c r="S2" s="1" t="s">
        <v>487</v>
      </c>
      <c r="T2" s="1" t="s">
        <v>488</v>
      </c>
      <c r="U2" s="1" t="s">
        <v>489</v>
      </c>
      <c r="V2" s="1" t="s">
        <v>490</v>
      </c>
      <c r="W2" s="1" t="s">
        <v>491</v>
      </c>
      <c r="X2" s="1" t="s">
        <v>492</v>
      </c>
      <c r="Y2" s="1" t="s">
        <v>493</v>
      </c>
      <c r="Z2" s="1" t="s">
        <v>494</v>
      </c>
      <c r="AA2" s="1" t="s">
        <v>495</v>
      </c>
      <c r="AB2" s="1" t="s">
        <v>496</v>
      </c>
      <c r="AC2" s="1" t="s">
        <v>497</v>
      </c>
      <c r="AD2" s="1" t="s">
        <v>498</v>
      </c>
      <c r="AE2" s="1" t="s">
        <v>499</v>
      </c>
      <c r="AF2" s="1" t="s">
        <v>500</v>
      </c>
      <c r="AG2" s="1" t="s">
        <v>501</v>
      </c>
      <c r="AH2" s="1" t="s">
        <v>502</v>
      </c>
      <c r="AI2" s="1" t="s">
        <v>503</v>
      </c>
      <c r="AJ2" s="1" t="s">
        <v>504</v>
      </c>
      <c r="AK2" s="1" t="s">
        <v>505</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506</v>
      </c>
      <c r="B1" s="1" t="s">
        <v>507</v>
      </c>
      <c r="C1" s="1" t="s">
        <v>508</v>
      </c>
      <c r="D1" s="1" t="s">
        <v>509</v>
      </c>
      <c r="E1" s="1" t="s">
        <v>510</v>
      </c>
      <c r="F1" s="1" t="s">
        <v>511</v>
      </c>
      <c r="G1" s="1" t="s">
        <v>512</v>
      </c>
      <c r="H1" s="1" t="s">
        <v>513</v>
      </c>
      <c r="I1" s="1" t="s">
        <v>514</v>
      </c>
      <c r="J1" s="1" t="s">
        <v>515</v>
      </c>
      <c r="K1" s="1" t="s">
        <v>516</v>
      </c>
      <c r="L1" s="1" t="s">
        <v>517</v>
      </c>
      <c r="M1" s="1" t="s">
        <v>518</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