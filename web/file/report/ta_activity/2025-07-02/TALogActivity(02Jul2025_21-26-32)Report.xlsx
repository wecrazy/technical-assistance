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<sst xmlns="http://schemas.openxmlformats.org/spreadsheetml/2006/main" count="491" uniqueCount="491">
  <si>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</si>
  <si>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</si>
  <si>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</si>
  <si>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</si>
  <si>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</si>
  <si>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</si>
  <si>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</si>
  <si>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</si>
  <si>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</si>
  <si>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</si>
  <si>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</si>
  <si>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</si>
  <si>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</si>
  <si>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</si>
  <si>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</si>
  <si>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</si>
  <si>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</si>
  <si>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</si>
  <si>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</si>
  <si>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</si>
  <si>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</si>
  <si>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</si>
  <si>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</si>
  <si>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</si>
  <si>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</si>
  <si>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</si>
  <si>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</si>
  <si>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</si>
  <si>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</si>
  <si>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</si>
  <si>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</si>
  <si>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</si>
  <si>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</si>
  <si>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</si>
  <si>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</si>
  <si>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</si>
  <si>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</si>
  <si>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</si>
  <si>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</si>
  <si>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</si>
  <si>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</si>
  <si>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</si>
  <si>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</si>
  <si>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</si>
  <si>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</si>
  <si>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</si>
  <si>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</si>
  <si>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</si>
  <si>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</si>
  <si>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</si>
  <si>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</si>
  <si>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</si>
  <si>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</si>
  <si>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</si>
  <si>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</si>
  <si>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</si>
  <si>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</si>
  <si>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</si>
  <si>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</si>
  <si>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</si>
  <si>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</si>
  <si>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</si>
  <si>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</si>
  <si>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</si>
  <si>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</si>
  <si>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</si>
  <si>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</si>
  <si>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</si>
  <si>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</si>
  <si>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</si>
  <si>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</si>
  <si>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</si>
  <si>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</si>
  <si>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</si>
  <si>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</si>
  <si>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</si>
  <si>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</si>
  <si>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</si>
  <si>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</si>
  <si>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</si>
  <si>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</si>
  <si>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</si>
  <si>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</si>
  <si>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</si>
  <si>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</si>
  <si>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</si>
  <si>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</si>
  <si>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</si>
  <si>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</si>
  <si>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</si>
  <si>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</si>
  <si>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</si>
  <si>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</si>
  <si>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</si>
  <si>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</si>
  <si>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</si>
  <si>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</si>
  <si>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</si>
  <si>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</si>
  <si>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</si>
  <si>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</si>
  <si>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</si>
  <si>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</si>
  <si>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</si>
  <si>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</si>
  <si>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</si>
  <si>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</si>
  <si>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</si>
  <si>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</si>
  <si>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</si>
  <si>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</si>
  <si>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</si>
  <si>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</si>
  <si>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</si>
  <si>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</si>
  <si>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</si>
  <si>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</si>
  <si>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</si>
  <si>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</si>
  <si>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</si>
  <si>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</si>
  <si>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</si>
  <si>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</si>
  <si>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</si>
  <si>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</si>
  <si>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</si>
  <si>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</si>
  <si>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</si>
  <si>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</si>
  <si>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</si>
  <si>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</si>
  <si>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</si>
  <si>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</si>
  <si>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</si>
  <si>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</si>
  <si>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</si>
  <si>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</si>
  <si>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</si>
  <si>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</si>
  <si>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</si>
  <si>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</si>
  <si>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</si>
  <si>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</si>
  <si>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</si>
  <si>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</si>
  <si>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</si>
  <si>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</si>
  <si>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</si>
  <si>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</si>
  <si>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</si>
  <si>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</si>
  <si>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</si>
  <si>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</si>
  <si>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</si>
  <si>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</si>
  <si>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</si>
  <si>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</si>
  <si>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</si>
  <si>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</si>
  <si>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</si>
  <si>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</si>
  <si>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</si>
  <si>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</si>
  <si>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</si>
  <si>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</si>
  <si>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</si>
  <si>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</si>
  <si>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</si>
  <si>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</si>
  <si>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</si>
  <si>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</si>
  <si>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</si>
  <si>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</si>
  <si>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</si>
  <si>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</si>
  <si>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</si>
  <si>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</si>
  <si>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</si>
  <si>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</si>
  <si>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</si>
  <si>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</si>
  <si>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</si>
  <si>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</si>
  <si>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</si>
  <si>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</si>
  <si>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</si>
  <si>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</si>
  <si>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</si>
  <si>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</si>
  <si>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</si>
  <si>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</si>
  <si>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</si>
  <si>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</si>
  <si>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</si>
  <si>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</si>
  <si>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</si>
  <si>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</si>
  <si>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</si>
  <si>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</si>
  <si>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</si>
  <si>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</si>
  <si>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</si>
  <si>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</si>
  <si>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</si>
  <si>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</si>
  <si>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</si>
  <si>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</si>
  <si>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</si>
  <si>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</si>
  <si>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</si>
  <si>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</si>
  <si>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</si>
  <si>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</si>
  <si>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</si>
  <si>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</si>
  <si>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</si>
  <si>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</si>
  <si>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</si>
  <si>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</si>
  <si>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</si>
  <si>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</si>
  <si>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</si>
  <si>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</si>
  <si>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</si>
  <si>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</si>
  <si>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</si>
  <si>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</si>
  <si>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</si>
  <si>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</si>
  <si>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</si>
  <si>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</si>
  <si>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</si>
  <si>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</si>
  <si>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</si>
  <si>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</si>
  <si>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</si>
  <si>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</si>
  <si>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</si>
  <si>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</si>
  <si>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</si>
  <si>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</si>
  <si>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</si>
  <si>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</si>
  <si>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</si>
  <si>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</si>
  <si>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</si>
  <si>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</si>
  <si>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</si>
  <si>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</si>
  <si>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</si>
  <si>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</si>
  <si>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</si>
  <si>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</si>
  <si>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</si>
  <si>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</si>
  <si>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</si>
  <si>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</si>
  <si>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</si>
  <si>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</si>
  <si>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</si>
  <si>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</si>
  <si>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</si>
  <si>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</si>
  <si>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</si>
  <si>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</si>
  <si>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</si>
  <si>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</si>
  <si>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</si>
  <si>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</si>
  <si>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</si>
  <si>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</si>
  <si>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</si>
  <si>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</si>
  <si>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</si>
  <si>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</si>
  <si>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</si>
  <si>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</si>
  <si>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</si>
  <si>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</si>
  <si>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</si>
  <si>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</si>
  <si>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</si>
  <si>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</si>
  <si>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</si>
  <si>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</si>
  <si>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</si>
  <si>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</si>
  <si>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</si>
  <si>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</si>
  <si>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</si>
  <si>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</si>
  <si>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</si>
  <si>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</si>
  <si>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</si>
  <si>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</si>
  <si>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</si>
  <si>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</si>
  <si>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</si>
  <si>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</si>
  <si>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</si>
  <si>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</si>
  <si>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</si>
  <si>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</si>
  <si>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</si>
  <si>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</si>
  <si>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</si>
  <si>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</si>
  <si>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</si>
  <si>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</si>
  <si>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</si>
  <si>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</si>
  <si>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</si>
  <si>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</si>
  <si>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</si>
  <si>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</si>
  <si>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</si>
  <si>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</si>
  <si>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</si>
  <si>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</si>
  <si>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</si>
  <si>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</si>
  <si>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</si>
  <si>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</si>
  <si>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</si>
  <si>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</si>
  <si>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</si>
  <si>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</si>
  <si>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</si>
  <si>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</si>
  <si>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</si>
  <si>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</si>
  <si>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</si>
  <si>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</si>
  <si>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</si>
  <si>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</si>
  <si>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</si>
  <si>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</si>
  <si>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</si>
  <si>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</si>
  <si>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</si>
  <si>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</si>
  <si>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</si>
  <si>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</si>
  <si>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</si>
  <si>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</si>
  <si>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</si>
  <si>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</si>
  <si>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</si>
  <si>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</si>
  <si>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</si>
  <si>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</si>
  <si>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</si>
  <si>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</si>
  <si>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</si>
  <si>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</si>
  <si>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</si>
  <si>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</si>
  <si>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</si>
  <si>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</si>
  <si>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</si>
  <si>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</si>
  <si>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</si>
  <si>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</si>
  <si>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</si>
  <si>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</si>
  <si>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</si>
  <si>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</si>
  <si>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</si>
  <si>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</si>
  <si>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</si>
  <si>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</si>
  <si>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</si>
  <si>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</si>
  <si>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</si>
  <si>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</si>
  <si>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</si>
  <si>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</si>
  <si>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</si>
  <si>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</si>
  <si>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</si>
  <si>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</si>
  <si>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</si>
  <si>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</si>
  <si>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</si>
  <si>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</si>
  <si>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</si>
  <si>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</si>
  <si>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</si>
  <si>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</si>
  <si>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</si>
  <si>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</si>
  <si>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</si>
  <si>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</si>
  <si>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2025-07-02 21:21:06</t>
  </si>
  <si>
    <t>2025-07-02 21:21:36</t>
  </si>
  <si>
    <t>00:00:30</t>
  </si>
  <si>
    <t>2025-06-11 19:14:57</t>
  </si>
  <si>
    <t>MTI-000111564</t>
  </si>
  <si>
    <t>Tess PM659</t>
  </si>
  <si>
    <t>2025-05-31 23:59:59</t>
  </si>
  <si>
    <t>[A00] Done</t>
  </si>
  <si>
    <t>error</t>
  </si>
  <si>
    <t>errors:Foto EDC Bermasalah,Foto Merchant Bermasalah,SN di foto tidak terbaca - mohon foto ulang</t>
  </si>
  <si>
    <t>Administrator - tes</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</si>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</sst>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26:32"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26:32"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26:32"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56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row r="4">
      <c r="A4" s="1" t="s">
        <v>393</v>
      </c>
      <c r="B4" s="1" t="s">
        <v>394</v>
      </c>
      <c r="C4" s="1" t="s">
        <v>395</v>
      </c>
      <c r="D4" s="1" t="s">
        <v>396</v>
      </c>
      <c r="E4" s="1" t="s">
        <v>374</v>
      </c>
      <c r="F4" s="1" t="s">
        <v>375</v>
      </c>
      <c r="G4" s="1" t="s">
        <v>376</v>
      </c>
      <c r="H4" t="str">
        <f>IFERROR(VLOOKUP(G4, EMPLOYEES!A:C, 2, FALSE), "N/A")</f>
      </c>
      <c r="I4" t="str">
        <f>IFERROR(VLOOKUP(G4, EMPLOYEES!A:C, 3, FALSE), "N/A")</f>
      </c>
      <c r="J4" s="1" t="s">
        <v>397</v>
      </c>
      <c r="K4" s="1" t="s">
        <v>398</v>
      </c>
      <c r="L4" s="1" t="s">
        <v>379</v>
      </c>
      <c r="M4" s="1" t="s">
        <v>380</v>
      </c>
      <c r="N4" s="1" t="s">
        <v>399</v>
      </c>
      <c r="O4" s="1" t="s">
        <v>382</v>
      </c>
      <c r="P4" s="1" t="s">
        <v>400</v>
      </c>
      <c r="Q4" s="1" t="s">
        <v>401</v>
      </c>
      <c r="R4" s="1" t="s">
        <v>402</v>
      </c>
      <c r="S4" s="1" t="s">
        <v>386</v>
      </c>
      <c r="T4" s="1" t="s">
        <v>63</v>
      </c>
      <c r="U4" s="1" t="s">
        <v>403</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workbookViewId="0"/>
  </sheetViews>
  <cols>
    <col customWidth="true" max="1" min="1" width="42"/>
    <col customWidth="true" max="11" min="11" width="25"/>
    <col customWidth="true" max="12" min="12" width="14"/>
    <col customWidth="true" max="13" min="13" width="60"/>
  </cols>
  <sheetData>
    <row r="1">
      <c r="K1" t="s">
        <v>405</v>
      </c>
    </row>
    <row r="2">
      <c r="K2" s="2" t="s">
        <v>406</v>
      </c>
      <c r="L2" s="2" t="s">
        <v>407</v>
      </c>
      <c r="M2" s="2" t="s">
        <v>408</v>
      </c>
    </row>
    <row r="3">
      <c r="K3" t="s">
        <v>409</v>
      </c>
      <c r="L3" s="1">
        <v>1</v>
      </c>
      <c r="M3" t="s">
        <v>415</v>
      </c>
    </row>
    <row r="4">
      <c r="K4" t="s">
        <v>410</v>
      </c>
      <c r="L4" s="1">
        <v>0</v>
      </c>
      <c r="M4" t="s">
        <v>416</v>
      </c>
    </row>
    <row r="5">
      <c r="K5" t="s">
        <v>411</v>
      </c>
      <c r="L5" s="1">
        <v>3</v>
      </c>
      <c r="M5" t="s">
        <v>417</v>
      </c>
    </row>
    <row r="6">
      <c r="K6" t="s">
        <v>412</v>
      </c>
      <c r="L6" s="1" t="str">
        <f>=SUM(L3:L5)</f>
      </c>
      <c r="M6" t="s">
        <v>418</v>
      </c>
    </row>
    <row r="7">
      <c r="K7" t="s">
        <v>413</v>
      </c>
      <c r="L7" s="1">
        <v>0</v>
      </c>
      <c r="M7" t="s">
        <v>419</v>
      </c>
    </row>
    <row r="8">
      <c r="K8" s="3" t="s">
        <v>414</v>
      </c>
      <c r="L8" s="4" t="str">
        <f>=L5/L6</f>
      </c>
      <c r="M8" t="s">
        <v>420</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421</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354</v>
      </c>
      <c r="P1" s="1" t="s">
        <v>369</v>
      </c>
    </row>
    <row r="2">
      <c r="A2" s="1" t="s">
        <v>429</v>
      </c>
      <c r="B2" s="1" t="s">
        <v>63</v>
      </c>
      <c r="C2" s="1" t="s">
        <v>63</v>
      </c>
      <c r="D2" s="1" t="s">
        <v>63</v>
      </c>
      <c r="E2" s="1" t="s">
        <v>430</v>
      </c>
      <c r="F2" s="1" t="s">
        <v>63</v>
      </c>
      <c r="G2" s="1" t="s">
        <v>63</v>
      </c>
      <c r="H2" s="1" t="s">
        <v>63</v>
      </c>
      <c r="I2" s="1" t="s">
        <v>63</v>
      </c>
      <c r="J2" s="1" t="s">
        <v>63</v>
      </c>
      <c r="K2" s="1" t="s">
        <v>63</v>
      </c>
      <c r="L2" s="1" t="s">
        <v>431</v>
      </c>
      <c r="M2" s="1" t="s">
        <v>63</v>
      </c>
      <c r="N2" s="1" t="s">
        <v>63</v>
      </c>
      <c r="O2" s="1" t="s">
        <v>432</v>
      </c>
      <c r="P2" s="1" t="s">
        <v>433</v>
      </c>
    </row>
    <row r="3">
      <c r="A3" s="1" t="s">
        <v>434</v>
      </c>
      <c r="B3" s="1" t="s">
        <v>435</v>
      </c>
      <c r="C3" s="1" t="s">
        <v>436</v>
      </c>
      <c r="D3" s="1" t="s">
        <v>437</v>
      </c>
      <c r="E3" s="1" t="s">
        <v>382</v>
      </c>
      <c r="F3" s="1" t="s">
        <v>379</v>
      </c>
      <c r="G3" s="1" t="s">
        <v>380</v>
      </c>
      <c r="H3" s="1" t="s">
        <v>399</v>
      </c>
      <c r="I3" s="1" t="s">
        <v>438</v>
      </c>
      <c r="J3" s="1" t="s">
        <v>439</v>
      </c>
      <c r="K3" s="1" t="s">
        <v>440</v>
      </c>
      <c r="L3" s="1" t="s">
        <v>382</v>
      </c>
      <c r="M3" s="1" t="s">
        <v>441</v>
      </c>
      <c r="N3" s="1" t="s">
        <v>376</v>
      </c>
      <c r="O3" s="1" t="s">
        <v>442</v>
      </c>
      <c r="P3" s="1" t="s">
        <v>443</v>
      </c>
    </row>
    <row r="4">
      <c r="A4" s="1" t="s">
        <v>444</v>
      </c>
      <c r="B4" s="1" t="s">
        <v>445</v>
      </c>
      <c r="C4" s="1" t="s">
        <v>446</v>
      </c>
      <c r="D4" s="1" t="s">
        <v>447</v>
      </c>
      <c r="E4" s="1" t="s">
        <v>448</v>
      </c>
      <c r="F4" s="1" t="s">
        <v>379</v>
      </c>
      <c r="G4" s="1" t="s">
        <v>449</v>
      </c>
      <c r="H4" s="1" t="s">
        <v>450</v>
      </c>
      <c r="I4" s="1" t="s">
        <v>451</v>
      </c>
      <c r="J4" s="1" t="s">
        <v>452</v>
      </c>
      <c r="K4" s="1" t="s">
        <v>453</v>
      </c>
      <c r="L4" s="1" t="s">
        <v>454</v>
      </c>
      <c r="M4" s="1" t="s">
        <v>455</v>
      </c>
      <c r="N4" s="1" t="s">
        <v>376</v>
      </c>
      <c r="O4" s="1" t="s">
        <v>456</v>
      </c>
      <c r="P4" s="1" t="s">
        <v>63</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366</v>
      </c>
      <c r="P1" s="1" t="s">
        <v>354</v>
      </c>
      <c r="Q1" s="1" t="s">
        <v>369</v>
      </c>
      <c r="R1" s="1" t="s">
        <v>458</v>
      </c>
      <c r="S1" s="1" t="s">
        <v>459</v>
      </c>
      <c r="T1" s="1" t="s">
        <v>460</v>
      </c>
      <c r="U1" s="1" t="s">
        <v>461</v>
      </c>
      <c r="V1" s="1" t="s">
        <v>462</v>
      </c>
      <c r="W1" s="1" t="s">
        <v>463</v>
      </c>
      <c r="X1" s="1" t="s">
        <v>464</v>
      </c>
      <c r="Y1" s="1" t="s">
        <v>465</v>
      </c>
      <c r="Z1" s="1" t="s">
        <v>466</v>
      </c>
      <c r="AA1" s="1" t="s">
        <v>467</v>
      </c>
      <c r="AB1" s="1" t="s">
        <v>468</v>
      </c>
      <c r="AC1" s="1" t="s">
        <v>469</v>
      </c>
      <c r="AD1" s="1" t="s">
        <v>470</v>
      </c>
      <c r="AE1" s="1" t="s">
        <v>471</v>
      </c>
      <c r="AF1" s="1" t="s">
        <v>472</v>
      </c>
      <c r="AG1" s="1" t="s">
        <v>473</v>
      </c>
      <c r="AH1" s="1" t="s">
        <v>474</v>
      </c>
      <c r="AI1" s="1" t="s">
        <v>475</v>
      </c>
      <c r="AJ1" s="1" t="s">
        <v>476</v>
      </c>
      <c r="AK1" s="1" t="s">
        <v>477</v>
      </c>
    </row>
  </sheetData>
  <autoFilter ref="$A$1:$AK$1"/>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478</v>
      </c>
      <c r="B1" s="1" t="s">
        <v>479</v>
      </c>
      <c r="C1" s="1" t="s">
        <v>480</v>
      </c>
      <c r="D1" s="1" t="s">
        <v>481</v>
      </c>
      <c r="E1" s="1" t="s">
        <v>482</v>
      </c>
      <c r="F1" s="1" t="s">
        <v>483</v>
      </c>
      <c r="G1" s="1" t="s">
        <v>484</v>
      </c>
      <c r="H1" s="1" t="s">
        <v>485</v>
      </c>
      <c r="I1" s="1" t="s">
        <v>486</v>
      </c>
      <c r="J1" s="1" t="s">
        <v>487</v>
      </c>
      <c r="K1" s="1" t="s">
        <v>488</v>
      </c>
      <c r="L1" s="1" t="s">
        <v>489</v>
      </c>
      <c r="M1" s="1" t="s">
        <v>490</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