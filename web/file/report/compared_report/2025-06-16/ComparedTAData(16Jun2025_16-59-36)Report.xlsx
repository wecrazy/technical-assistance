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s>
  <definedNames>
    <definedName hidden="true" localSheetId="0" name="_xlnm._FilterDatabase">'EMPLOYEES'!$A$1:$C$1</definedName>
    <definedName hidden="true" localSheetId="1" name="_xlnm._FilterDatabase">'LEFT DATA (ERROR &amp; PENDING)'!$A$1:$AO$1</definedName>
  </definedNames>
  <calcPr calcId="122211"/>
</workbook>
</file>

<file path=xl/sharedStrings.xml><?xml version="1.0" encoding="utf-8"?>
<sst xmlns="http://schemas.openxmlformats.org/spreadsheetml/2006/main" count="435" uniqueCount="435">
  <si>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</si>
  <si>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</si>
  <si>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</si>
  <si>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</si>
  <si>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</si>
  <si>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</si>
  <si>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</si>
  <si>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</si>
  <si>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</si>
  <si>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</si>
  <si>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</si>
  <si>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</si>
  <si>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</si>
  <si>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</si>
  <si>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</si>
  <si>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</si>
  <si>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</si>
  <si>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</si>
  <si>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</si>
  <si>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</si>
  <si>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</si>
  <si>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</si>
  <si>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</si>
  <si>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</si>
  <si>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</si>
  <si>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</si>
  <si>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</si>
  <si>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</si>
  <si>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</si>
  <si>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</si>
  <si>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</si>
  <si>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</si>
  <si>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</si>
  <si>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</si>
  <si>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</si>
  <si>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</si>
  <si>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</si>
  <si>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</si>
  <si>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</si>
  <si>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</si>
  <si>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</si>
  <si>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</si>
  <si>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</si>
  <si>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</si>
  <si>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</si>
  <si>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</si>
  <si>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</si>
  <si>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</si>
  <si>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</si>
  <si>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</si>
  <si>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</si>
  <si>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</si>
  <si>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</si>
  <si>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</si>
  <si>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</si>
  <si>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</si>
  <si>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</si>
  <si>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</si>
  <si>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</si>
  <si>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</si>
  <si>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</si>
  <si>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</si>
  <si>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</si>
  <si>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</si>
  <si>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</si>
  <si>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</si>
  <si>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</si>
  <si>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</si>
  <si>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</si>
  <si>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</si>
  <si>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</si>
  <si>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</si>
  <si>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</si>
  <si>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</si>
  <si>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</si>
  <si>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</si>
  <si>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</si>
  <si>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</si>
  <si>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</si>
  <si>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</si>
  <si>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</si>
  <si>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</si>
  <si>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</si>
  <si>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</si>
  <si>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</si>
  <si>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</si>
  <si>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</si>
  <si>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</si>
  <si>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</si>
  <si>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</si>
  <si>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</si>
  <si>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</si>
  <si>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</si>
  <si>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</si>
  <si>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</si>
  <si>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</si>
  <si>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</si>
  <si>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</si>
  <si>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</si>
  <si>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</si>
  <si>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</si>
  <si>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</si>
  <si>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</si>
  <si>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</si>
  <si>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</si>
  <si>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</si>
  <si>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</si>
  <si>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</si>
  <si>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</si>
  <si>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</si>
  <si>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</si>
  <si>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</si>
  <si>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</si>
  <si>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</si>
  <si>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</si>
  <si>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</si>
  <si>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</si>
  <si>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</si>
  <si>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</si>
  <si>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</si>
  <si>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</si>
  <si>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</si>
  <si>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</si>
  <si>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</si>
  <si>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</si>
  <si>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</si>
  <si>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</si>
  <si>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</si>
  <si>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</si>
  <si>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</si>
  <si>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</si>
  <si>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</si>
  <si>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</si>
  <si>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</si>
  <si>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</si>
  <si>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</si>
  <si>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</si>
  <si>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</si>
  <si>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</si>
  <si>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</si>
  <si>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</si>
  <si>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</si>
  <si>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</si>
  <si>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</si>
  <si>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</si>
  <si>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</si>
  <si>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</si>
  <si>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</si>
  <si>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</si>
  <si>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</si>
  <si>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</si>
  <si>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</si>
  <si>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</si>
  <si>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</si>
  <si>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</si>
  <si>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</si>
  <si>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</si>
  <si>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</si>
  <si>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</si>
  <si>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</si>
  <si>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</si>
  <si>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</si>
  <si>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</si>
  <si>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</si>
  <si>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</si>
  <si>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</si>
  <si>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</si>
  <si>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</si>
  <si>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</si>
  <si>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</si>
  <si>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</si>
  <si>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</si>
  <si>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</si>
  <si>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</si>
  <si>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</si>
  <si>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</si>
  <si>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</si>
  <si>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</si>
  <si>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</si>
  <si>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</si>
  <si>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</si>
  <si>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</si>
  <si>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</si>
  <si>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</si>
  <si>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</si>
  <si>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</si>
  <si>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</si>
  <si>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</si>
  <si>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</si>
  <si>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</si>
  <si>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</si>
  <si>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</si>
  <si>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</si>
  <si>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</si>
  <si>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</si>
  <si>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</si>
  <si>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</si>
  <si>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</si>
  <si>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</si>
  <si>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</si>
  <si>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</si>
  <si>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</si>
  <si>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</si>
  <si>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</si>
  <si>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</si>
  <si>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</si>
  <si>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</si>
  <si>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</si>
  <si>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</si>
  <si>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</si>
  <si>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</si>
  <si>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</si>
  <si>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</si>
  <si>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</si>
  <si>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</si>
  <si>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</si>
  <si>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</si>
  <si>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</si>
  <si>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</si>
  <si>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</si>
  <si>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</si>
  <si>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</si>
  <si>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</si>
  <si>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</si>
  <si>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</si>
  <si>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</si>
  <si>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</si>
  <si>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</si>
  <si>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</si>
  <si>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</si>
  <si>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</si>
  <si>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</si>
  <si>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</si>
  <si>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</si>
  <si>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</si>
  <si>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</si>
  <si>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</si>
  <si>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</si>
  <si>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</si>
  <si>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</si>
  <si>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</si>
  <si>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</si>
  <si>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</si>
  <si>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</si>
  <si>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</si>
  <si>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</si>
  <si>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</si>
  <si>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</si>
  <si>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</si>
  <si>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</si>
  <si>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</si>
  <si>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</si>
  <si>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</si>
  <si>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</si>
  <si>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</si>
  <si>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</si>
  <si>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</si>
  <si>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</si>
  <si>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</si>
  <si>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</si>
  <si>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</si>
  <si>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</si>
  <si>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</si>
  <si>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</si>
  <si>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</si>
  <si>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</si>
  <si>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</si>
  <si>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</si>
  <si>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</si>
  <si>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</si>
  <si>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</si>
  <si>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</si>
  <si>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</si>
  <si>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</si>
  <si>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</si>
  <si>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</si>
  <si>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</si>
  <si>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</si>
  <si>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</si>
  <si>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</si>
  <si>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</si>
  <si>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</si>
  <si>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</si>
  <si>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</si>
  <si>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</si>
  <si>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</si>
  <si>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</si>
  <si>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</si>
  <si>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</si>
  <si>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</si>
  <si>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</si>
  <si>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</si>
  <si>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</si>
  <si>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</si>
  <si>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</si>
  <si>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</si>
  <si>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</si>
  <si>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</si>
  <si>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</si>
  <si>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</si>
  <si>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</si>
  <si>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</si>
  <si>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</si>
  <si>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</si>
  <si>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</si>
  <si>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</si>
  <si>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</si>
  <si>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</si>
  <si>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</si>
  <si>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</si>
  <si>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</si>
  <si>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</si>
  <si>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</si>
  <si>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</si>
  <si>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</si>
  <si>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</si>
  <si>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</si>
  <si>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</si>
  <si>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</si>
  <si>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</si>
  <si>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</si>
  <si>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</si>
  <si>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</si>
  <si>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</si>
  <si>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</si>
  <si>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</si>
  <si>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</si>
  <si>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</si>
  <si>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</si>
  <si>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</si>
  <si>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</si>
  <si>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</si>
  <si>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</si>
  <si>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</si>
  <si>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</si>
  <si>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</si>
  <si>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</si>
  <si>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</si>
  <si>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</si>
  <si>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</si>
  <si>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</si>
  <si>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</si>
  <si>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</si>
  <si>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</si>
  <si>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</si>
  <si>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</si>
  <si>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</si>
  <si>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</si>
  <si>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</si>
  <si>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</si>
  <si>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</si>
  <si>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</si>
  <si>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</si>
  <si>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</si>
  <si>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</si>
  <si>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</si>
  <si>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</si>
  <si>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</si>
  <si>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</si>
  <si>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</si>
  <si>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</si>
  <si>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</si>
  <si>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</si>
  <si>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</si>
  <si>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</si>
  <si>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</si>
  <si>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</si>
  <si>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</si>
  <si>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</si>
  <si>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</si>
  <si>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</si>
  <si>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</si>
  <si>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</si>
  <si>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</si>
  <si>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</si>
  <si>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</si>
  <si>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</si>
  <si>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</si>
  <si>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</si>
  <si>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</si>
  <si>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2025-05-31 23:59:59</t>
  </si>
  <si>
    <t>2025-06-12 02:14:57</t>
  </si>
  <si>
    <t>MTI-000111564</t>
  </si>
  <si>
    <t>Tess PM659</t>
  </si>
  <si>
    <t>Implemented soon !!! not yet !!!</t>
  </si>
  <si>
    <t>2025-05-20 10:00:00</t>
  </si>
  <si>
    <t>MTI</t>
  </si>
  <si>
    <t>Preventive Maintenance</t>
  </si>
  <si>
    <t>MTI Preventive Maintenance</t>
  </si>
  <si>
    <t>ghjj</t>
  </si>
  <si>
    <t>Tes EDC</t>
  </si>
  <si>
    <t>[A00] Done</t>
  </si>
  <si>
    <t>Rawamangun</t>
  </si>
  <si>
    <t>Tes Dev Mfjr Rawamangun</t>
  </si>
  <si>
    <t>errors:Foto EDC Bermasalah,Foto Merchant Bermasalah,SN di foto tidak terbaca - mohon foto ulang</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</si>
  <si>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</si>
  <si>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</si>
  <si>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</si>
  <si>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</si>
  <si>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</si>
  <si>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</si>
  <si>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</si>
  <si>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</si>
  <si>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</si>
  <si>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</si>
  <si>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</si>
  <si>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</si>
  <si>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</si>
  <si>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</si>
  <si>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</si>
  <si>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</si>
  <si>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</si>
  <si>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</si>
  <si>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</si>
  <si>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</si>
  <si>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</si>
  <si>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</si>
  <si>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1648475</t>
  </si>
  <si>
    <t>2025-06-12 02:17:22</t>
  </si>
  <si>
    <t>MTI-000111565</t>
  </si>
  <si>
    <t>Tess PM660</t>
  </si>
  <si>
    <t>jhg</t>
  </si>
  <si>
    <t>errors:Foto Merchant Bermasalah,SN di foto tidak terbaca - mohon foto ulang</t>
  </si>
  <si>
    <t>re</t>
  </si>
  <si>
    <t>0</t>
  </si>
  <si>
    <t>2025-02-03 15:38:48</t>
  </si>
  <si>
    <t>OVO</t>
  </si>
  <si>
    <t>adsf</t>
  </si>
  <si>
    <t>Administrator - test123 dicoba</t>
  </si>
  <si>
    <t>1648473</t>
  </si>
  <si>
    <t>2025-06-12 02:10:03</t>
  </si>
  <si>
    <t>MTI-000111563</t>
  </si>
  <si>
    <t>Tess PM658</t>
  </si>
  <si>
    <t>ghj</t>
  </si>
  <si>
    <t>[D01] Merchant - Address Not Found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</si>
</sst>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4" Type="http://schemas.openxmlformats.org/officeDocument/2006/relationships/hyperlink" TargetMode="External"></Relationship><Relationship Id="rId2" Target="http://smartwebindonesia.com:5241/here/file/1648474@x_foto_bast" Type="http://schemas.openxmlformats.org/officeDocument/2006/relationships/hyperlink" TargetMode="External"></Relationship><Relationship Id="rId3" Target="http://smartwebindonesia.com:5241/here/file/1648474@x_foto_ceklis" Type="http://schemas.openxmlformats.org/officeDocument/2006/relationships/hyperlink" TargetMode="External"></Relationship><Relationship Id="rId4" Target="http://smartwebindonesia.com:5241/here/file/1648474@x_foto_edc" Type="http://schemas.openxmlformats.org/officeDocument/2006/relationships/hyperlink" TargetMode="External"></Relationship><Relationship Id="rId5" Target="http://smartwebindonesia.com:5241/here/file/1648474@x_foto_pic" Type="http://schemas.openxmlformats.org/officeDocument/2006/relationships/hyperlink" TargetMode="External"></Relationship><Relationship Id="rId6" Target="http://smartwebindonesia.com:5241/here/file/1648474@x_foto_setting" Type="http://schemas.openxmlformats.org/officeDocument/2006/relationships/hyperlink" TargetMode="External"></Relationship><Relationship Id="rId7" Target="http://smartwebindonesia.com:5241/here/file/1648474@x_foto_thermal" Type="http://schemas.openxmlformats.org/officeDocument/2006/relationships/hyperlink" TargetMode="External"></Relationship><Relationship Id="rId8" Target="http://smartwebindonesia.com:5241/here/file/1648474@x_foto_toko" Type="http://schemas.openxmlformats.org/officeDocument/2006/relationships/hyperlink" TargetMode="External"></Relationship><Relationship Id="rId9" Target="http://smartwebindonesia.com:5241/here/file/1648474@x_foto_training" Type="http://schemas.openxmlformats.org/officeDocument/2006/relationships/hyperlink" TargetMode="External"></Relationship><Relationship Id="rId10" Target="http://smartwebindonesia.com:5241/here/file/1648474@x_foto_transaksi" Type="http://schemas.openxmlformats.org/officeDocument/2006/relationships/hyperlink" TargetMode="External"></Relationship><Relationship Id="rId11" Target="http://smartwebindonesia.com:5241/here/file/1648474@x_tanda_tangan_pic" Type="http://schemas.openxmlformats.org/officeDocument/2006/relationships/hyperlink" TargetMode="External"></Relationship><Relationship Id="rId12" Target="http://smartwebindonesia.com:5241/here/file/1648474@x_tanda_tangan_teknisi" Type="http://schemas.openxmlformats.org/officeDocument/2006/relationships/hyperlink" TargetMode="External"></Relationship><Relationship Id="rId13" Target="http://smartwebindonesia.com:5241/here/file/1648474@x_foto_sticker_edc" Type="http://schemas.openxmlformats.org/officeDocument/2006/relationships/hyperlink" TargetMode="External"></Relationship><Relationship Id="rId14" Target="http://smartwebindonesia.com:5241/here/file/1648474@x_foto_screen_guard" Type="http://schemas.openxmlformats.org/officeDocument/2006/relationships/hyperlink" TargetMode="External"></Relationship><Relationship Id="rId15" Target="http://smartwebindonesia.com:5241/here/file/1648474@x_foto_all_transaction" Type="http://schemas.openxmlformats.org/officeDocument/2006/relationships/hyperlink" TargetMode="External"></Relationship><Relationship Id="rId16" Target="http://smartwebindonesia.com:5241/here/file/1648474@x_foto_transaksi_bmri" Type="http://schemas.openxmlformats.org/officeDocument/2006/relationships/hyperlink" TargetMode="External"></Relationship><Relationship Id="rId17" Target="http://smartwebindonesia.com:5241/here/file/1648474@x_foto_transaksi_bni" Type="http://schemas.openxmlformats.org/officeDocument/2006/relationships/hyperlink" TargetMode="External"></Relationship><Relationship Id="rId18" Target="http://smartwebindonesia.com:5241/here/file/1648474@x_foto_transaksi_bri" Type="http://schemas.openxmlformats.org/officeDocument/2006/relationships/hyperlink" TargetMode="External"></Relationship><Relationship Id="rId19" Target="http://smartwebindonesia.com:5241/here/file/1648474@x_foto_transaksi_btn" Type="http://schemas.openxmlformats.org/officeDocument/2006/relationships/hyperlink" TargetMode="External"></Relationship><Relationship Id="rId20" Target="http://smartwebindonesia.com:5241/here/file/1648474@x_foto_transaksi_patch" Type="http://schemas.openxmlformats.org/officeDocument/2006/relationships/hyperlink" TargetMode="External"></Relationship><Relationship Id="rId21" Target="http://smartwebindonesia.com:5241/here/file/1648474@x_foto_screen_p2g" Type="http://schemas.openxmlformats.org/officeDocument/2006/relationships/hyperlink" TargetMode="External"></Relationship><Relationship Id="rId22" Target="http://smartwebindonesia.com:5241/here/file/1648474@x_foto_kontak_stiker_pic" Type="http://schemas.openxmlformats.org/officeDocument/2006/relationships/hyperlink" TargetMode="External"></Relationship><Relationship Id="rId23" Target="http://smartwebindonesia.com:3405/projectTask/detailWO?wo_number=MTI-000111565" Type="http://schemas.openxmlformats.org/officeDocument/2006/relationships/hyperlink" TargetMode="External"></Relationship><Relationship Id="rId24" Target="http://smartwebindonesia.com:5241/here/file/1648475@x_foto_bast" Type="http://schemas.openxmlformats.org/officeDocument/2006/relationships/hyperlink" TargetMode="External"></Relationship><Relationship Id="rId25" Target="http://smartwebindonesia.com:5241/here/file/1648475@x_foto_ceklis" Type="http://schemas.openxmlformats.org/officeDocument/2006/relationships/hyperlink" TargetMode="External"></Relationship><Relationship Id="rId26" Target="http://smartwebindonesia.com:5241/here/file/1648475@x_foto_edc" Type="http://schemas.openxmlformats.org/officeDocument/2006/relationships/hyperlink" TargetMode="External"></Relationship><Relationship Id="rId27" Target="http://smartwebindonesia.com:5241/here/file/1648475@x_foto_pic" Type="http://schemas.openxmlformats.org/officeDocument/2006/relationships/hyperlink" TargetMode="External"></Relationship><Relationship Id="rId28" Target="http://smartwebindonesia.com:5241/here/file/1648475@x_foto_setting" Type="http://schemas.openxmlformats.org/officeDocument/2006/relationships/hyperlink" TargetMode="External"></Relationship><Relationship Id="rId29" Target="http://smartwebindonesia.com:5241/here/file/1648475@x_foto_thermal" Type="http://schemas.openxmlformats.org/officeDocument/2006/relationships/hyperlink" TargetMode="External"></Relationship><Relationship Id="rId30" Target="http://smartwebindonesia.com:5241/here/file/1648475@x_foto_toko" Type="http://schemas.openxmlformats.org/officeDocument/2006/relationships/hyperlink" TargetMode="External"></Relationship><Relationship Id="rId31" Target="http://smartwebindonesia.com:5241/here/file/1648475@x_foto_training" Type="http://schemas.openxmlformats.org/officeDocument/2006/relationships/hyperlink" TargetMode="External"></Relationship><Relationship Id="rId32" Target="http://smartwebindonesia.com:5241/here/file/1648475@x_foto_transaksi" Type="http://schemas.openxmlformats.org/officeDocument/2006/relationships/hyperlink" TargetMode="External"></Relationship><Relationship Id="rId33" Target="http://smartwebindonesia.com:5241/here/file/1648475@x_tanda_tangan_pic" Type="http://schemas.openxmlformats.org/officeDocument/2006/relationships/hyperlink" TargetMode="External"></Relationship><Relationship Id="rId34" Target="http://smartwebindonesia.com:5241/here/file/1648475@x_tanda_tangan_teknisi" Type="http://schemas.openxmlformats.org/officeDocument/2006/relationships/hyperlink" TargetMode="External"></Relationship><Relationship Id="rId35" Target="http://smartwebindonesia.com:5241/here/file/1648475@x_foto_sticker_edc" Type="http://schemas.openxmlformats.org/officeDocument/2006/relationships/hyperlink" TargetMode="External"></Relationship><Relationship Id="rId36" Target="http://smartwebindonesia.com:5241/here/file/1648475@x_foto_screen_guard" Type="http://schemas.openxmlformats.org/officeDocument/2006/relationships/hyperlink" TargetMode="External"></Relationship><Relationship Id="rId37" Target="http://smartwebindonesia.com:5241/here/file/1648475@x_foto_all_transaction" Type="http://schemas.openxmlformats.org/officeDocument/2006/relationships/hyperlink" TargetMode="External"></Relationship><Relationship Id="rId38" Target="http://smartwebindonesia.com:5241/here/file/1648475@x_foto_transaksi_bmri" Type="http://schemas.openxmlformats.org/officeDocument/2006/relationships/hyperlink" TargetMode="External"></Relationship><Relationship Id="rId39" Target="http://smartwebindonesia.com:5241/here/file/1648475@x_foto_transaksi_bni" Type="http://schemas.openxmlformats.org/officeDocument/2006/relationships/hyperlink" TargetMode="External"></Relationship><Relationship Id="rId40" Target="http://smartwebindonesia.com:5241/here/file/1648475@x_foto_transaksi_bri" Type="http://schemas.openxmlformats.org/officeDocument/2006/relationships/hyperlink" TargetMode="External"></Relationship><Relationship Id="rId41" Target="http://smartwebindonesia.com:5241/here/file/1648475@x_foto_transaksi_btn" Type="http://schemas.openxmlformats.org/officeDocument/2006/relationships/hyperlink" TargetMode="External"></Relationship><Relationship Id="rId42" Target="http://smartwebindonesia.com:5241/here/file/1648475@x_foto_transaksi_patch" Type="http://schemas.openxmlformats.org/officeDocument/2006/relationships/hyperlink" TargetMode="External"></Relationship><Relationship Id="rId43" Target="http://smartwebindonesia.com:5241/here/file/1648475@x_foto_screen_p2g" Type="http://schemas.openxmlformats.org/officeDocument/2006/relationships/hyperlink" TargetMode="External"></Relationship><Relationship Id="rId44" Target="http://smartwebindonesia.com:5241/here/file/1648475@x_foto_kontak_stiker_pic" Type="http://schemas.openxmlformats.org/officeDocument/2006/relationships/hyperlink" TargetMode="External"></Relationship><Relationship Id="rId45" Target="http://smartwebindonesia.com:3405/projectTask/detailWO?wo_number=0" Type="http://schemas.openxmlformats.org/officeDocument/2006/relationships/hyperlink" TargetMode="External"></Relationship><Relationship Id="rId46" Target="http://smartwebindonesia.com:5241/here/file/re@x_foto_bast" Type="http://schemas.openxmlformats.org/officeDocument/2006/relationships/hyperlink" TargetMode="External"></Relationship><Relationship Id="rId47" Target="http://smartwebindonesia.com:5241/here/file/re@x_foto_ceklis" Type="http://schemas.openxmlformats.org/officeDocument/2006/relationships/hyperlink" TargetMode="External"></Relationship><Relationship Id="rId48" Target="http://smartwebindonesia.com:5241/here/file/re@x_foto_edc" Type="http://schemas.openxmlformats.org/officeDocument/2006/relationships/hyperlink" TargetMode="External"></Relationship><Relationship Id="rId49" Target="http://smartwebindonesia.com:5241/here/file/re@x_foto_pic" Type="http://schemas.openxmlformats.org/officeDocument/2006/relationships/hyperlink" TargetMode="External"></Relationship><Relationship Id="rId50" Target="http://smartwebindonesia.com:5241/here/file/re@x_foto_setting" Type="http://schemas.openxmlformats.org/officeDocument/2006/relationships/hyperlink" TargetMode="External"></Relationship><Relationship Id="rId51" Target="http://smartwebindonesia.com:5241/here/file/re@x_foto_thermal" Type="http://schemas.openxmlformats.org/officeDocument/2006/relationships/hyperlink" TargetMode="External"></Relationship><Relationship Id="rId52" Target="http://smartwebindonesia.com:5241/here/file/re@x_foto_toko" Type="http://schemas.openxmlformats.org/officeDocument/2006/relationships/hyperlink" TargetMode="External"></Relationship><Relationship Id="rId53" Target="http://smartwebindonesia.com:5241/here/file/re@x_foto_training" Type="http://schemas.openxmlformats.org/officeDocument/2006/relationships/hyperlink" TargetMode="External"></Relationship><Relationship Id="rId54" Target="http://smartwebindonesia.com:5241/here/file/re@x_foto_transaksi" Type="http://schemas.openxmlformats.org/officeDocument/2006/relationships/hyperlink" TargetMode="External"></Relationship><Relationship Id="rId55" Target="http://smartwebindonesia.com:5241/here/file/re@x_tanda_tangan_pic" Type="http://schemas.openxmlformats.org/officeDocument/2006/relationships/hyperlink" TargetMode="External"></Relationship><Relationship Id="rId56" Target="http://smartwebindonesia.com:5241/here/file/re@x_tanda_tangan_teknisi" Type="http://schemas.openxmlformats.org/officeDocument/2006/relationships/hyperlink" TargetMode="External"></Relationship><Relationship Id="rId57" Target="http://smartwebindonesia.com:5241/here/file/re@x_foto_sticker_edc" Type="http://schemas.openxmlformats.org/officeDocument/2006/relationships/hyperlink" TargetMode="External"></Relationship><Relationship Id="rId58" Target="http://smartwebindonesia.com:5241/here/file/re@x_foto_screen_guard" Type="http://schemas.openxmlformats.org/officeDocument/2006/relationships/hyperlink" TargetMode="External"></Relationship><Relationship Id="rId59" Target="http://smartwebindonesia.com:5241/here/file/re@x_foto_all_transaction" Type="http://schemas.openxmlformats.org/officeDocument/2006/relationships/hyperlink" TargetMode="External"></Relationship><Relationship Id="rId60" Target="http://smartwebindonesia.com:5241/here/file/re@x_foto_transaksi_bmri" Type="http://schemas.openxmlformats.org/officeDocument/2006/relationships/hyperlink" TargetMode="External"></Relationship><Relationship Id="rId61" Target="http://smartwebindonesia.com:5241/here/file/re@x_foto_transaksi_bni" Type="http://schemas.openxmlformats.org/officeDocument/2006/relationships/hyperlink" TargetMode="External"></Relationship><Relationship Id="rId62" Target="http://smartwebindonesia.com:5241/here/file/re@x_foto_transaksi_bri" Type="http://schemas.openxmlformats.org/officeDocument/2006/relationships/hyperlink" TargetMode="External"></Relationship><Relationship Id="rId63" Target="http://smartwebindonesia.com:5241/here/file/re@x_foto_transaksi_btn" Type="http://schemas.openxmlformats.org/officeDocument/2006/relationships/hyperlink" TargetMode="External"></Relationship><Relationship Id="rId64" Target="http://smartwebindonesia.com:5241/here/file/re@x_foto_transaksi_patch" Type="http://schemas.openxmlformats.org/officeDocument/2006/relationships/hyperlink" TargetMode="External"></Relationship><Relationship Id="rId65" Target="http://smartwebindonesia.com:5241/here/file/re@x_foto_screen_p2g" Type="http://schemas.openxmlformats.org/officeDocument/2006/relationships/hyperlink" TargetMode="External"></Relationship><Relationship Id="rId66" Target="http://smartwebindonesia.com:5241/here/file/re@x_foto_kontak_stiker_pic" Type="http://schemas.openxmlformats.org/officeDocument/2006/relationships/hyperlink" TargetMode="External"></Relationship><Relationship Id="rId67" Target="http://smartwebindonesia.com:3405/projectTask/detailWO?wo_number=MTI-000111563" Type="http://schemas.openxmlformats.org/officeDocument/2006/relationships/hyperlink" TargetMode="External"></Relationship><Relationship Id="rId68" Target="http://smartwebindonesia.com:5241/here/file/1648473@x_foto_bast" Type="http://schemas.openxmlformats.org/officeDocument/2006/relationships/hyperlink" TargetMode="External"></Relationship><Relationship Id="rId69" Target="http://smartwebindonesia.com:5241/here/file/1648473@x_foto_ceklis" Type="http://schemas.openxmlformats.org/officeDocument/2006/relationships/hyperlink" TargetMode="External"></Relationship><Relationship Id="rId70" Target="http://smartwebindonesia.com:5241/here/file/1648473@x_foto_edc" Type="http://schemas.openxmlformats.org/officeDocument/2006/relationships/hyperlink" TargetMode="External"></Relationship><Relationship Id="rId71" Target="http://smartwebindonesia.com:5241/here/file/1648473@x_foto_pic" Type="http://schemas.openxmlformats.org/officeDocument/2006/relationships/hyperlink" TargetMode="External"></Relationship><Relationship Id="rId72" Target="http://smartwebindonesia.com:5241/here/file/1648473@x_foto_setting" Type="http://schemas.openxmlformats.org/officeDocument/2006/relationships/hyperlink" TargetMode="External"></Relationship><Relationship Id="rId73" Target="http://smartwebindonesia.com:5241/here/file/1648473@x_foto_thermal" Type="http://schemas.openxmlformats.org/officeDocument/2006/relationships/hyperlink" TargetMode="External"></Relationship><Relationship Id="rId74" Target="http://smartwebindonesia.com:5241/here/file/1648473@x_foto_toko" Type="http://schemas.openxmlformats.org/officeDocument/2006/relationships/hyperlink" TargetMode="External"></Relationship><Relationship Id="rId75" Target="http://smartwebindonesia.com:5241/here/file/1648473@x_foto_training" Type="http://schemas.openxmlformats.org/officeDocument/2006/relationships/hyperlink" TargetMode="External"></Relationship><Relationship Id="rId76" Target="http://smartwebindonesia.com:5241/here/file/1648473@x_foto_transaksi" Type="http://schemas.openxmlformats.org/officeDocument/2006/relationships/hyperlink" TargetMode="External"></Relationship><Relationship Id="rId77" Target="http://smartwebindonesia.com:5241/here/file/1648473@x_tanda_tangan_pic" Type="http://schemas.openxmlformats.org/officeDocument/2006/relationships/hyperlink" TargetMode="External"></Relationship><Relationship Id="rId78" Target="http://smartwebindonesia.com:5241/here/file/1648473@x_tanda_tangan_teknisi" Type="http://schemas.openxmlformats.org/officeDocument/2006/relationships/hyperlink" TargetMode="External"></Relationship><Relationship Id="rId79" Target="http://smartwebindonesia.com:5241/here/file/1648473@x_foto_sticker_edc" Type="http://schemas.openxmlformats.org/officeDocument/2006/relationships/hyperlink" TargetMode="External"></Relationship><Relationship Id="rId80" Target="http://smartwebindonesia.com:5241/here/file/1648473@x_foto_screen_guard" Type="http://schemas.openxmlformats.org/officeDocument/2006/relationships/hyperlink" TargetMode="External"></Relationship><Relationship Id="rId81" Target="http://smartwebindonesia.com:5241/here/file/1648473@x_foto_all_transaction" Type="http://schemas.openxmlformats.org/officeDocument/2006/relationships/hyperlink" TargetMode="External"></Relationship><Relationship Id="rId82" Target="http://smartwebindonesia.com:5241/here/file/1648473@x_foto_transaksi_bmri" Type="http://schemas.openxmlformats.org/officeDocument/2006/relationships/hyperlink" TargetMode="External"></Relationship><Relationship Id="rId83" Target="http://smartwebindonesia.com:5241/here/file/1648473@x_foto_transaksi_bni" Type="http://schemas.openxmlformats.org/officeDocument/2006/relationships/hyperlink" TargetMode="External"></Relationship><Relationship Id="rId84" Target="http://smartwebindonesia.com:5241/here/file/1648473@x_foto_transaksi_bri" Type="http://schemas.openxmlformats.org/officeDocument/2006/relationships/hyperlink" TargetMode="External"></Relationship><Relationship Id="rId85" Target="http://smartwebindonesia.com:5241/here/file/1648473@x_foto_transaksi_btn" Type="http://schemas.openxmlformats.org/officeDocument/2006/relationships/hyperlink" TargetMode="External"></Relationship><Relationship Id="rId86" Target="http://smartwebindonesia.com:5241/here/file/1648473@x_foto_transaksi_patch" Type="http://schemas.openxmlformats.org/officeDocument/2006/relationships/hyperlink" TargetMode="External"></Relationship><Relationship Id="rId87" Target="http://smartwebindonesia.com:5241/here/file/1648473@x_foto_screen_p2g" Type="http://schemas.openxmlformats.org/officeDocument/2006/relationships/hyperlink" TargetMode="External"></Relationship><Relationship Id="rId88" Target="http://smartwebindonesia.com:5241/here/file/1648473@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395</v>
      </c>
      <c r="U2" s="1" t="s">
        <v>396</v>
      </c>
      <c r="V2" s="1" t="s">
        <v>397</v>
      </c>
      <c r="W2" s="1" t="s">
        <v>398</v>
      </c>
      <c r="X2" s="1" t="s">
        <v>399</v>
      </c>
      <c r="Y2" s="1" t="s">
        <v>400</v>
      </c>
      <c r="Z2" s="1" t="s">
        <v>401</v>
      </c>
      <c r="AA2" s="1" t="s">
        <v>402</v>
      </c>
      <c r="AB2" s="1" t="s">
        <v>403</v>
      </c>
      <c r="AC2" s="1" t="s">
        <v>404</v>
      </c>
      <c r="AD2" s="1" t="s">
        <v>405</v>
      </c>
      <c r="AE2" s="1" t="s">
        <v>406</v>
      </c>
      <c r="AF2" s="1" t="s">
        <v>407</v>
      </c>
      <c r="AG2" s="1" t="s">
        <v>408</v>
      </c>
      <c r="AH2" s="1" t="s">
        <v>409</v>
      </c>
      <c r="AI2" s="1" t="s">
        <v>410</v>
      </c>
      <c r="AJ2" s="1" t="s">
        <v>411</v>
      </c>
      <c r="AK2" s="1" t="s">
        <v>412</v>
      </c>
      <c r="AL2" s="1" t="s">
        <v>413</v>
      </c>
      <c r="AM2" s="1" t="s">
        <v>414</v>
      </c>
      <c r="AN2" s="1" t="s">
        <v>415</v>
      </c>
      <c r="AO2" s="1" t="s">
        <v>416</v>
      </c>
    </row>
    <row r="3">
      <c r="A3" s="1" t="s">
        <v>417</v>
      </c>
      <c r="B3" s="1" t="s">
        <v>380</v>
      </c>
      <c r="C3" s="1" t="s">
        <v>418</v>
      </c>
      <c r="D3" s="1" t="s">
        <v>419</v>
      </c>
      <c r="E3" s="1" t="s">
        <v>420</v>
      </c>
      <c r="F3" s="1" t="s">
        <v>384</v>
      </c>
      <c r="G3" s="1" t="s">
        <v>385</v>
      </c>
      <c r="H3" s="1" t="s">
        <v>386</v>
      </c>
      <c r="I3" s="1" t="s">
        <v>387</v>
      </c>
      <c r="J3" s="1" t="s">
        <v>388</v>
      </c>
      <c r="K3" s="1" t="s">
        <v>421</v>
      </c>
      <c r="L3" s="1" t="s">
        <v>390</v>
      </c>
      <c r="M3" s="1" t="s">
        <v>391</v>
      </c>
      <c r="N3" s="1" t="s">
        <v>386</v>
      </c>
      <c r="O3" s="1" t="s">
        <v>392</v>
      </c>
      <c r="P3" t="str">
        <f>IFERROR(VLOOKUP(R3, EMPLOYEES!A:C, 3, FALSE), "N/A")</f>
      </c>
      <c r="Q3" t="str">
        <f>IFERROR(VLOOKUP(R3, EMPLOYEES!A:C, 2, FALSE), "N/A")</f>
      </c>
      <c r="R3" s="1" t="s">
        <v>393</v>
      </c>
      <c r="S3" s="1" t="s">
        <v>422</v>
      </c>
      <c r="T3" s="1" t="s">
        <v>333</v>
      </c>
      <c r="U3" s="1" t="s">
        <v>396</v>
      </c>
      <c r="V3" s="1" t="s">
        <v>397</v>
      </c>
      <c r="W3" s="1" t="s">
        <v>398</v>
      </c>
      <c r="X3" s="1" t="s">
        <v>399</v>
      </c>
      <c r="Y3" s="1" t="s">
        <v>400</v>
      </c>
      <c r="Z3" s="1" t="s">
        <v>401</v>
      </c>
      <c r="AA3" s="1" t="s">
        <v>402</v>
      </c>
      <c r="AB3" s="1" t="s">
        <v>403</v>
      </c>
      <c r="AC3" s="1" t="s">
        <v>404</v>
      </c>
      <c r="AD3" s="1" t="s">
        <v>405</v>
      </c>
      <c r="AE3" s="1" t="s">
        <v>406</v>
      </c>
      <c r="AF3" s="1" t="s">
        <v>407</v>
      </c>
      <c r="AG3" s="1" t="s">
        <v>408</v>
      </c>
      <c r="AH3" s="1" t="s">
        <v>409</v>
      </c>
      <c r="AI3" s="1" t="s">
        <v>410</v>
      </c>
      <c r="AJ3" s="1" t="s">
        <v>411</v>
      </c>
      <c r="AK3" s="1" t="s">
        <v>412</v>
      </c>
      <c r="AL3" s="1" t="s">
        <v>413</v>
      </c>
      <c r="AM3" s="1" t="s">
        <v>414</v>
      </c>
      <c r="AN3" s="1" t="s">
        <v>415</v>
      </c>
      <c r="AO3" s="1" t="s">
        <v>416</v>
      </c>
    </row>
    <row r="4">
      <c r="A4" s="1" t="s">
        <v>423</v>
      </c>
      <c r="B4" s="1" t="s">
        <v>424</v>
      </c>
      <c r="C4" s="1" t="s">
        <v>425</v>
      </c>
      <c r="D4" s="1" t="s">
        <v>424</v>
      </c>
      <c r="E4" s="1" t="s">
        <v>424</v>
      </c>
      <c r="F4" s="1" t="s">
        <v>384</v>
      </c>
      <c r="G4" s="1" t="s">
        <v>424</v>
      </c>
      <c r="H4" s="1" t="s">
        <v>426</v>
      </c>
      <c r="I4" s="1" t="s">
        <v>424</v>
      </c>
      <c r="J4" s="1" t="s">
        <v>424</v>
      </c>
      <c r="K4" s="1" t="s">
        <v>424</v>
      </c>
      <c r="L4" s="1" t="s">
        <v>424</v>
      </c>
      <c r="M4" s="1" t="s">
        <v>424</v>
      </c>
      <c r="N4" s="1" t="s">
        <v>427</v>
      </c>
      <c r="O4" s="1" t="s">
        <v>424</v>
      </c>
      <c r="P4" t="str">
        <f>IFERROR(VLOOKUP(R4, EMPLOYEES!A:C, 3, FALSE), "N/A")</f>
      </c>
      <c r="Q4" t="str">
        <f>IFERROR(VLOOKUP(R4, EMPLOYEES!A:C, 2, FALSE), "N/A")</f>
      </c>
      <c r="R4" s="1" t="s">
        <v>424</v>
      </c>
      <c r="S4" s="1" t="s">
        <v>333</v>
      </c>
      <c r="T4" s="1" t="s">
        <v>428</v>
      </c>
      <c r="U4" s="1" t="s">
        <v>396</v>
      </c>
      <c r="V4" s="1" t="s">
        <v>397</v>
      </c>
      <c r="W4" s="1" t="s">
        <v>398</v>
      </c>
      <c r="X4" s="1" t="s">
        <v>399</v>
      </c>
      <c r="Y4" s="1" t="s">
        <v>400</v>
      </c>
      <c r="Z4" s="1" t="s">
        <v>401</v>
      </c>
      <c r="AA4" s="1" t="s">
        <v>402</v>
      </c>
      <c r="AB4" s="1" t="s">
        <v>403</v>
      </c>
      <c r="AC4" s="1" t="s">
        <v>404</v>
      </c>
      <c r="AD4" s="1" t="s">
        <v>405</v>
      </c>
      <c r="AE4" s="1" t="s">
        <v>406</v>
      </c>
      <c r="AF4" s="1" t="s">
        <v>407</v>
      </c>
      <c r="AG4" s="1" t="s">
        <v>408</v>
      </c>
      <c r="AH4" s="1" t="s">
        <v>409</v>
      </c>
      <c r="AI4" s="1" t="s">
        <v>410</v>
      </c>
      <c r="AJ4" s="1" t="s">
        <v>411</v>
      </c>
      <c r="AK4" s="1" t="s">
        <v>412</v>
      </c>
      <c r="AL4" s="1" t="s">
        <v>413</v>
      </c>
      <c r="AM4" s="1" t="s">
        <v>414</v>
      </c>
      <c r="AN4" s="1" t="s">
        <v>415</v>
      </c>
      <c r="AO4" s="1" t="s">
        <v>416</v>
      </c>
    </row>
    <row r="5">
      <c r="A5" s="1" t="s">
        <v>429</v>
      </c>
      <c r="B5" s="1" t="s">
        <v>380</v>
      </c>
      <c r="C5" s="1" t="s">
        <v>430</v>
      </c>
      <c r="D5" s="1" t="s">
        <v>431</v>
      </c>
      <c r="E5" s="1" t="s">
        <v>432</v>
      </c>
      <c r="F5" s="1" t="s">
        <v>384</v>
      </c>
      <c r="G5" s="1" t="s">
        <v>385</v>
      </c>
      <c r="H5" s="1" t="s">
        <v>386</v>
      </c>
      <c r="I5" s="1" t="s">
        <v>387</v>
      </c>
      <c r="J5" s="1" t="s">
        <v>388</v>
      </c>
      <c r="K5" s="1" t="s">
        <v>433</v>
      </c>
      <c r="L5" s="1" t="s">
        <v>390</v>
      </c>
      <c r="M5" s="1" t="s">
        <v>434</v>
      </c>
      <c r="N5" s="1" t="s">
        <v>386</v>
      </c>
      <c r="O5" s="1" t="s">
        <v>392</v>
      </c>
      <c r="P5" t="str">
        <f>IFERROR(VLOOKUP(R5, EMPLOYEES!A:C, 3, FALSE), "N/A")</f>
      </c>
      <c r="Q5" t="str">
        <f>IFERROR(VLOOKUP(R5, EMPLOYEES!A:C, 2, FALSE), "N/A")</f>
      </c>
      <c r="R5" s="1" t="s">
        <v>393</v>
      </c>
      <c r="S5" s="1" t="s">
        <v>333</v>
      </c>
      <c r="T5" s="1" t="s">
        <v>333</v>
      </c>
      <c r="U5" s="1" t="s">
        <v>396</v>
      </c>
      <c r="V5" s="1" t="s">
        <v>397</v>
      </c>
      <c r="W5" s="1" t="s">
        <v>398</v>
      </c>
      <c r="X5" s="1" t="s">
        <v>399</v>
      </c>
      <c r="Y5" s="1" t="s">
        <v>400</v>
      </c>
      <c r="Z5" s="1" t="s">
        <v>401</v>
      </c>
      <c r="AA5" s="1" t="s">
        <v>402</v>
      </c>
      <c r="AB5" s="1" t="s">
        <v>403</v>
      </c>
      <c r="AC5" s="1" t="s">
        <v>404</v>
      </c>
      <c r="AD5" s="1" t="s">
        <v>405</v>
      </c>
      <c r="AE5" s="1" t="s">
        <v>406</v>
      </c>
      <c r="AF5" s="1" t="s">
        <v>407</v>
      </c>
      <c r="AG5" s="1" t="s">
        <v>408</v>
      </c>
      <c r="AH5" s="1" t="s">
        <v>409</v>
      </c>
      <c r="AI5" s="1" t="s">
        <v>410</v>
      </c>
      <c r="AJ5" s="1" t="s">
        <v>411</v>
      </c>
      <c r="AK5" s="1" t="s">
        <v>412</v>
      </c>
      <c r="AL5" s="1" t="s">
        <v>413</v>
      </c>
      <c r="AM5" s="1" t="s">
        <v>414</v>
      </c>
      <c r="AN5" s="1" t="s">
        <v>415</v>
      </c>
      <c r="AO5" s="1" t="s">
        <v>416</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