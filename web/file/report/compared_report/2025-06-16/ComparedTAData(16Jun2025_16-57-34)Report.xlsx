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LEFT DATA (ERROR &amp; PENDING)" sheetId="3" r:id="rId6"/>
  </sheets>
  <definedNames>
    <definedName hidden="true" localSheetId="0" name="_xlnm._FilterDatabase">'EMPLOYEES'!$A$1:$C$1</definedName>
    <definedName hidden="true" localSheetId="1" name="_xlnm._FilterDatabase">'LEFT DATA (ERROR &amp; PENDING)'!$A$1:$AO$1</definedName>
  </definedNames>
  <calcPr calcId="122211"/>
</workbook>
</file>

<file path=xl/sharedStrings.xml><?xml version="1.0" encoding="utf-8"?>
<sst xmlns="http://schemas.openxmlformats.org/spreadsheetml/2006/main" count="423" uniqueCount="423">
  <si>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</si>
  <si>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</si>
  <si>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</si>
  <si>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</si>
  <si>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</si>
  <si>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</si>
  <si>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</si>
  <si>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</si>
  <si>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</si>
  <si>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</si>
  <si>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</si>
  <si>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</si>
  <si>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</si>
  <si>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</si>
  <si>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</si>
  <si>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</si>
  <si>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</si>
  <si>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</si>
  <si>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</si>
  <si>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</si>
  <si>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</si>
  <si>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</si>
  <si>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</si>
  <si>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</si>
  <si>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</si>
  <si>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</si>
  <si>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</si>
  <si>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</si>
  <si>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</si>
  <si>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</si>
  <si>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</si>
  <si>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</si>
  <si>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</si>
  <si>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</si>
  <si>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</si>
  <si>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</si>
  <si>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</si>
  <si>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</si>
  <si>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</si>
  <si>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</si>
  <si>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</si>
  <si>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</si>
  <si>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</si>
  <si>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</si>
  <si>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</si>
  <si>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</si>
  <si>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</si>
  <si>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</si>
  <si>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</si>
  <si>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</si>
  <si>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</si>
  <si>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</si>
  <si>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</si>
  <si>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</si>
  <si>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</si>
  <si>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</si>
  <si>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</si>
  <si>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</si>
  <si>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</si>
  <si>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</si>
  <si>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</si>
  <si>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</si>
  <si>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</si>
  <si>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</si>
  <si>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</si>
  <si>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</si>
  <si>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</si>
  <si>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</si>
  <si>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</si>
  <si>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</si>
  <si>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</si>
  <si>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</si>
  <si>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</si>
  <si>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</si>
  <si>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</si>
  <si>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</si>
  <si>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</si>
  <si>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</si>
  <si>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</si>
  <si>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</si>
  <si>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</si>
  <si>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</si>
  <si>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</si>
  <si>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</si>
  <si>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</si>
  <si>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</si>
  <si>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</si>
  <si>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</si>
  <si>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</si>
  <si>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</si>
  <si>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</si>
  <si>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</si>
  <si>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</si>
  <si>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</si>
  <si>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</si>
  <si>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</si>
  <si>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</si>
  <si>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</si>
  <si>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</si>
  <si>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</si>
  <si>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</si>
  <si>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</si>
  <si>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</si>
  <si>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</si>
  <si>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</si>
  <si>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</si>
  <si>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</si>
  <si>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</si>
  <si>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</si>
  <si>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</si>
  <si>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</si>
  <si>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</si>
  <si>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</si>
  <si>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</si>
  <si>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</si>
  <si>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</si>
  <si>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</si>
  <si>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</si>
  <si>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</si>
  <si>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</si>
  <si>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</si>
  <si>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</si>
  <si>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</si>
  <si>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</si>
  <si>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</si>
  <si>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</si>
  <si>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</si>
  <si>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</si>
  <si>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</si>
  <si>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</si>
  <si>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</si>
  <si>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</si>
  <si>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</si>
  <si>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</si>
  <si>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</si>
  <si>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</si>
  <si>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</si>
  <si>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</si>
  <si>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</si>
  <si>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</si>
  <si>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</si>
  <si>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</si>
  <si>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</si>
  <si>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</si>
  <si>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</si>
  <si>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</si>
  <si>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</si>
  <si>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</si>
  <si>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</si>
  <si>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</si>
  <si>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</si>
  <si>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</si>
  <si>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</si>
  <si>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</si>
  <si>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</si>
  <si>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</si>
  <si>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</si>
  <si>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</si>
  <si>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</si>
  <si>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</si>
  <si>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</si>
  <si>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</si>
  <si>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</si>
  <si>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</si>
  <si>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</si>
  <si>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</si>
  <si>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</si>
  <si>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</si>
  <si>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</si>
  <si>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</si>
  <si>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</si>
  <si>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</si>
  <si>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</si>
  <si>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</si>
  <si>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</si>
  <si>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</si>
  <si>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</si>
  <si>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</si>
  <si>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</si>
  <si>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</si>
  <si>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</si>
  <si>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</si>
  <si>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</si>
  <si>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</si>
  <si>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</si>
  <si>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</si>
  <si>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</si>
  <si>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</si>
  <si>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</si>
  <si>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</si>
  <si>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</si>
  <si>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</si>
  <si>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</si>
  <si>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</si>
  <si>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</si>
  <si>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</si>
  <si>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</si>
  <si>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</si>
  <si>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</si>
  <si>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</si>
  <si>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</si>
  <si>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</si>
  <si>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</si>
  <si>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</si>
  <si>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</si>
  <si>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</si>
  <si>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</si>
  <si>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</si>
  <si>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</si>
  <si>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</si>
  <si>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</si>
  <si>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</si>
  <si>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</si>
  <si>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</si>
  <si>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</si>
  <si>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</si>
  <si>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</si>
  <si>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</si>
  <si>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</si>
  <si>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</si>
  <si>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</si>
  <si>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</si>
  <si>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</si>
  <si>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</si>
  <si>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</si>
  <si>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</si>
  <si>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</si>
  <si>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</si>
  <si>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</si>
  <si>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</si>
  <si>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</si>
  <si>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</si>
  <si>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</si>
  <si>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</si>
  <si>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</si>
  <si>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</si>
  <si>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</si>
  <si>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</si>
  <si>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</si>
  <si>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</si>
  <si>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</si>
  <si>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</si>
  <si>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</si>
  <si>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</si>
  <si>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</si>
  <si>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</si>
  <si>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</si>
  <si>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</si>
  <si>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</si>
  <si>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</si>
  <si>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</si>
  <si>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</si>
  <si>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</si>
  <si>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</si>
  <si>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</si>
  <si>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</si>
  <si>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</si>
  <si>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</si>
  <si>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</si>
  <si>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</si>
  <si>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</si>
  <si>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</si>
  <si>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</si>
  <si>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</si>
  <si>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</si>
  <si>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</si>
  <si>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</si>
  <si>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</si>
  <si>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</si>
  <si>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</si>
  <si>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</si>
  <si>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</si>
  <si>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</si>
  <si>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</si>
  <si>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</si>
  <si>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</si>
  <si>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</si>
  <si>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</si>
  <si>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</si>
  <si>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</si>
  <si>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</si>
  <si>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</si>
  <si>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</si>
  <si>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</si>
  <si>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</si>
  <si>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</si>
  <si>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</si>
  <si>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</si>
  <si>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</si>
  <si>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</si>
  <si>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</si>
  <si>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</si>
  <si>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</si>
  <si>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</si>
  <si>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</si>
  <si>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</si>
  <si>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</si>
  <si>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</si>
  <si>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</si>
  <si>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</si>
  <si>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</si>
  <si>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</si>
  <si>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</si>
  <si>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</si>
  <si>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</si>
  <si>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</si>
  <si>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</si>
  <si>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</si>
  <si>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</si>
  <si>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</si>
  <si>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</si>
  <si>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</si>
  <si>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</si>
  <si>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</si>
  <si>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</si>
  <si>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</si>
  <si>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</si>
  <si>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</si>
  <si>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</si>
  <si>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</si>
  <si>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</si>
  <si>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</si>
  <si>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</si>
  <si>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</si>
  <si>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</si>
  <si>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</si>
  <si>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</si>
  <si>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</si>
  <si>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</si>
  <si>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</si>
  <si>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</si>
  <si>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</si>
  <si>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</si>
  <si>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</si>
  <si>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</si>
  <si>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</si>
  <si>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</si>
  <si>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</si>
  <si>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</si>
  <si>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 Task</t>
  </si>
  <si>
    <t>SLA Deadline</t>
  </si>
  <si>
    <t>Date in Dashboard</t>
  </si>
  <si>
    <t>WO Number</t>
  </si>
  <si>
    <t>Ticket Subject</t>
  </si>
  <si>
    <t>Status in ODOO</t>
  </si>
  <si>
    <t>Received Date SPK</t>
  </si>
  <si>
    <t>Company</t>
  </si>
  <si>
    <t>Type</t>
  </si>
  <si>
    <t>Type2</t>
  </si>
  <si>
    <t>Keterangan</t>
  </si>
  <si>
    <t>Description</t>
  </si>
  <si>
    <t>Reason Code</t>
  </si>
  <si>
    <t>TID</t>
  </si>
  <si>
    <t>Merchant</t>
  </si>
  <si>
    <t>Head</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</si>
  <si>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</si>
  <si>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</si>
  <si>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</si>
  <si>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</si>
  <si>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</si>
  <si>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</si>
  <si>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</si>
  <si>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</si>
  <si>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</si>
  <si>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</si>
  <si>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</si>
  <si>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</si>
  <si>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</si>
  <si>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</si>
  <si>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</si>
  <si>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</si>
  <si>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</si>
  <si>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</si>
  <si>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</si>
  <si>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</si>
  <si>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</si>
  <si>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</si>
  <si>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</si>
  <si>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</si>
  <si>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</si>
  <si>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2025-05-31 23:59:59</t>
  </si>
  <si>
    <t>2025-06-12 02:14:57</t>
  </si>
  <si>
    <t>MTI-000111564</t>
  </si>
  <si>
    <t>Tess PM659</t>
  </si>
  <si>
    <t>Implemented soon !!! not yet !!!</t>
  </si>
  <si>
    <t>2025-05-20 10:00:00</t>
  </si>
  <si>
    <t>MTI</t>
  </si>
  <si>
    <t>Preventive Maintenance</t>
  </si>
  <si>
    <t>MTI Preventive Maintenance</t>
  </si>
  <si>
    <t>ghjj</t>
  </si>
  <si>
    <t>Tes EDC</t>
  </si>
  <si>
    <t>[A00] Done</t>
  </si>
  <si>
    <t>Rawamangun</t>
  </si>
  <si>
    <t>Tes Dev Mfjr Rawamangun</t>
  </si>
  <si>
    <t>errors:Foto EDC Bermasalah,Foto Merchant Bermasalah,SN di foto tidak terbaca - mohon foto ulang</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</si>
  <si>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</si>
  <si>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</si>
  <si>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</si>
  <si>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</si>
  <si>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</si>
  <si>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</si>
  <si>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</si>
  <si>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</si>
  <si>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</si>
  <si>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</si>
  <si>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</si>
  <si>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</si>
  <si>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</si>
  <si>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</si>
  <si>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</si>
  <si>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</si>
  <si>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</si>
  <si>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</si>
  <si>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</si>
  <si>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</si>
  <si>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</si>
  <si>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</si>
  <si>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1648475</t>
  </si>
  <si>
    <t>2025-06-12 02:17:22</t>
  </si>
  <si>
    <t>MTI-000111565</t>
  </si>
  <si>
    <t>Tess PM660</t>
  </si>
  <si>
    <t>jhg</t>
  </si>
  <si>
    <t>errors:Foto Merchant Bermasalah,SN di foto tidak terbaca - mohon foto ulang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</si>
</sst>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4" Type="http://schemas.openxmlformats.org/officeDocument/2006/relationships/hyperlink" TargetMode="External"></Relationship><Relationship Id="rId2" Target="http://smartwebindonesia.com:5241/here/file/1648474@x_foto_bast" Type="http://schemas.openxmlformats.org/officeDocument/2006/relationships/hyperlink" TargetMode="External"></Relationship><Relationship Id="rId3" Target="http://smartwebindonesia.com:5241/here/file/1648474@x_foto_ceklis" Type="http://schemas.openxmlformats.org/officeDocument/2006/relationships/hyperlink" TargetMode="External"></Relationship><Relationship Id="rId4" Target="http://smartwebindonesia.com:5241/here/file/1648474@x_foto_edc" Type="http://schemas.openxmlformats.org/officeDocument/2006/relationships/hyperlink" TargetMode="External"></Relationship><Relationship Id="rId5" Target="http://smartwebindonesia.com:5241/here/file/1648474@x_foto_pic" Type="http://schemas.openxmlformats.org/officeDocument/2006/relationships/hyperlink" TargetMode="External"></Relationship><Relationship Id="rId6" Target="http://smartwebindonesia.com:5241/here/file/1648474@x_foto_setting" Type="http://schemas.openxmlformats.org/officeDocument/2006/relationships/hyperlink" TargetMode="External"></Relationship><Relationship Id="rId7" Target="http://smartwebindonesia.com:5241/here/file/1648474@x_foto_thermal" Type="http://schemas.openxmlformats.org/officeDocument/2006/relationships/hyperlink" TargetMode="External"></Relationship><Relationship Id="rId8" Target="http://smartwebindonesia.com:5241/here/file/1648474@x_foto_toko" Type="http://schemas.openxmlformats.org/officeDocument/2006/relationships/hyperlink" TargetMode="External"></Relationship><Relationship Id="rId9" Target="http://smartwebindonesia.com:5241/here/file/1648474@x_foto_training" Type="http://schemas.openxmlformats.org/officeDocument/2006/relationships/hyperlink" TargetMode="External"></Relationship><Relationship Id="rId10" Target="http://smartwebindonesia.com:5241/here/file/1648474@x_foto_transaksi" Type="http://schemas.openxmlformats.org/officeDocument/2006/relationships/hyperlink" TargetMode="External"></Relationship><Relationship Id="rId11" Target="http://smartwebindonesia.com:5241/here/file/1648474@x_tanda_tangan_pic" Type="http://schemas.openxmlformats.org/officeDocument/2006/relationships/hyperlink" TargetMode="External"></Relationship><Relationship Id="rId12" Target="http://smartwebindonesia.com:5241/here/file/1648474@x_tanda_tangan_teknisi" Type="http://schemas.openxmlformats.org/officeDocument/2006/relationships/hyperlink" TargetMode="External"></Relationship><Relationship Id="rId13" Target="http://smartwebindonesia.com:5241/here/file/1648474@x_foto_sticker_edc" Type="http://schemas.openxmlformats.org/officeDocument/2006/relationships/hyperlink" TargetMode="External"></Relationship><Relationship Id="rId14" Target="http://smartwebindonesia.com:5241/here/file/1648474@x_foto_screen_guard" Type="http://schemas.openxmlformats.org/officeDocument/2006/relationships/hyperlink" TargetMode="External"></Relationship><Relationship Id="rId15" Target="http://smartwebindonesia.com:5241/here/file/1648474@x_foto_all_transaction" Type="http://schemas.openxmlformats.org/officeDocument/2006/relationships/hyperlink" TargetMode="External"></Relationship><Relationship Id="rId16" Target="http://smartwebindonesia.com:5241/here/file/1648474@x_foto_transaksi_bmri" Type="http://schemas.openxmlformats.org/officeDocument/2006/relationships/hyperlink" TargetMode="External"></Relationship><Relationship Id="rId17" Target="http://smartwebindonesia.com:5241/here/file/1648474@x_foto_transaksi_bni" Type="http://schemas.openxmlformats.org/officeDocument/2006/relationships/hyperlink" TargetMode="External"></Relationship><Relationship Id="rId18" Target="http://smartwebindonesia.com:5241/here/file/1648474@x_foto_transaksi_bri" Type="http://schemas.openxmlformats.org/officeDocument/2006/relationships/hyperlink" TargetMode="External"></Relationship><Relationship Id="rId19" Target="http://smartwebindonesia.com:5241/here/file/1648474@x_foto_transaksi_btn" Type="http://schemas.openxmlformats.org/officeDocument/2006/relationships/hyperlink" TargetMode="External"></Relationship><Relationship Id="rId20" Target="http://smartwebindonesia.com:5241/here/file/1648474@x_foto_transaksi_patch" Type="http://schemas.openxmlformats.org/officeDocument/2006/relationships/hyperlink" TargetMode="External"></Relationship><Relationship Id="rId21" Target="http://smartwebindonesia.com:5241/here/file/1648474@x_foto_screen_p2g" Type="http://schemas.openxmlformats.org/officeDocument/2006/relationships/hyperlink" TargetMode="External"></Relationship><Relationship Id="rId22" Target="http://smartwebindonesia.com:5241/here/file/1648474@x_foto_kontak_stiker_pic" Type="http://schemas.openxmlformats.org/officeDocument/2006/relationships/hyperlink" TargetMode="External"></Relationship><Relationship Id="rId23" Target="http://smartwebindonesia.com:3405/projectTask/detailWO?wo_number=MTI-000111565" Type="http://schemas.openxmlformats.org/officeDocument/2006/relationships/hyperlink" TargetMode="External"></Relationship><Relationship Id="rId24" Target="http://smartwebindonesia.com:5241/here/file/1648475@x_foto_bast" Type="http://schemas.openxmlformats.org/officeDocument/2006/relationships/hyperlink" TargetMode="External"></Relationship><Relationship Id="rId25" Target="http://smartwebindonesia.com:5241/here/file/1648475@x_foto_ceklis" Type="http://schemas.openxmlformats.org/officeDocument/2006/relationships/hyperlink" TargetMode="External"></Relationship><Relationship Id="rId26" Target="http://smartwebindonesia.com:5241/here/file/1648475@x_foto_edc" Type="http://schemas.openxmlformats.org/officeDocument/2006/relationships/hyperlink" TargetMode="External"></Relationship><Relationship Id="rId27" Target="http://smartwebindonesia.com:5241/here/file/1648475@x_foto_pic" Type="http://schemas.openxmlformats.org/officeDocument/2006/relationships/hyperlink" TargetMode="External"></Relationship><Relationship Id="rId28" Target="http://smartwebindonesia.com:5241/here/file/1648475@x_foto_setting" Type="http://schemas.openxmlformats.org/officeDocument/2006/relationships/hyperlink" TargetMode="External"></Relationship><Relationship Id="rId29" Target="http://smartwebindonesia.com:5241/here/file/1648475@x_foto_thermal" Type="http://schemas.openxmlformats.org/officeDocument/2006/relationships/hyperlink" TargetMode="External"></Relationship><Relationship Id="rId30" Target="http://smartwebindonesia.com:5241/here/file/1648475@x_foto_toko" Type="http://schemas.openxmlformats.org/officeDocument/2006/relationships/hyperlink" TargetMode="External"></Relationship><Relationship Id="rId31" Target="http://smartwebindonesia.com:5241/here/file/1648475@x_foto_training" Type="http://schemas.openxmlformats.org/officeDocument/2006/relationships/hyperlink" TargetMode="External"></Relationship><Relationship Id="rId32" Target="http://smartwebindonesia.com:5241/here/file/1648475@x_foto_transaksi" Type="http://schemas.openxmlformats.org/officeDocument/2006/relationships/hyperlink" TargetMode="External"></Relationship><Relationship Id="rId33" Target="http://smartwebindonesia.com:5241/here/file/1648475@x_tanda_tangan_pic" Type="http://schemas.openxmlformats.org/officeDocument/2006/relationships/hyperlink" TargetMode="External"></Relationship><Relationship Id="rId34" Target="http://smartwebindonesia.com:5241/here/file/1648475@x_tanda_tangan_teknisi" Type="http://schemas.openxmlformats.org/officeDocument/2006/relationships/hyperlink" TargetMode="External"></Relationship><Relationship Id="rId35" Target="http://smartwebindonesia.com:5241/here/file/1648475@x_foto_sticker_edc" Type="http://schemas.openxmlformats.org/officeDocument/2006/relationships/hyperlink" TargetMode="External"></Relationship><Relationship Id="rId36" Target="http://smartwebindonesia.com:5241/here/file/1648475@x_foto_screen_guard" Type="http://schemas.openxmlformats.org/officeDocument/2006/relationships/hyperlink" TargetMode="External"></Relationship><Relationship Id="rId37" Target="http://smartwebindonesia.com:5241/here/file/1648475@x_foto_all_transaction" Type="http://schemas.openxmlformats.org/officeDocument/2006/relationships/hyperlink" TargetMode="External"></Relationship><Relationship Id="rId38" Target="http://smartwebindonesia.com:5241/here/file/1648475@x_foto_transaksi_bmri" Type="http://schemas.openxmlformats.org/officeDocument/2006/relationships/hyperlink" TargetMode="External"></Relationship><Relationship Id="rId39" Target="http://smartwebindonesia.com:5241/here/file/1648475@x_foto_transaksi_bni" Type="http://schemas.openxmlformats.org/officeDocument/2006/relationships/hyperlink" TargetMode="External"></Relationship><Relationship Id="rId40" Target="http://smartwebindonesia.com:5241/here/file/1648475@x_foto_transaksi_bri" Type="http://schemas.openxmlformats.org/officeDocument/2006/relationships/hyperlink" TargetMode="External"></Relationship><Relationship Id="rId41" Target="http://smartwebindonesia.com:5241/here/file/1648475@x_foto_transaksi_btn" Type="http://schemas.openxmlformats.org/officeDocument/2006/relationships/hyperlink" TargetMode="External"></Relationship><Relationship Id="rId42" Target="http://smartwebindonesia.com:5241/here/file/1648475@x_foto_transaksi_patch" Type="http://schemas.openxmlformats.org/officeDocument/2006/relationships/hyperlink" TargetMode="External"></Relationship><Relationship Id="rId43" Target="http://smartwebindonesia.com:5241/here/file/1648475@x_foto_screen_p2g" Type="http://schemas.openxmlformats.org/officeDocument/2006/relationships/hyperlink" TargetMode="External"></Relationship><Relationship Id="rId44" Target="http://smartwebindonesia.com:5241/here/file/1648475@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c r="Q1" s="1" t="s">
        <v>1</v>
      </c>
      <c r="R1" s="1" t="s">
        <v>355</v>
      </c>
      <c r="S1" s="1" t="s">
        <v>356</v>
      </c>
      <c r="T1" s="1" t="s">
        <v>357</v>
      </c>
      <c r="U1" s="1" t="s">
        <v>358</v>
      </c>
      <c r="V1" s="1" t="s">
        <v>359</v>
      </c>
      <c r="W1" s="1" t="s">
        <v>360</v>
      </c>
      <c r="X1" s="1" t="s">
        <v>361</v>
      </c>
      <c r="Y1" s="1" t="s">
        <v>362</v>
      </c>
      <c r="Z1" s="1" t="s">
        <v>363</v>
      </c>
      <c r="AA1" s="1" t="s">
        <v>364</v>
      </c>
      <c r="AB1" s="1" t="s">
        <v>365</v>
      </c>
      <c r="AC1" s="1" t="s">
        <v>366</v>
      </c>
      <c r="AD1" s="1" t="s">
        <v>367</v>
      </c>
      <c r="AE1" s="1" t="s">
        <v>368</v>
      </c>
      <c r="AF1" s="1" t="s">
        <v>369</v>
      </c>
      <c r="AG1" s="1" t="s">
        <v>370</v>
      </c>
      <c r="AH1" s="1" t="s">
        <v>371</v>
      </c>
      <c r="AI1" s="1" t="s">
        <v>372</v>
      </c>
      <c r="AJ1" s="1" t="s">
        <v>373</v>
      </c>
      <c r="AK1" s="1" t="s">
        <v>374</v>
      </c>
      <c r="AL1" s="1" t="s">
        <v>375</v>
      </c>
      <c r="AM1" s="1" t="s">
        <v>376</v>
      </c>
      <c r="AN1" s="1" t="s">
        <v>377</v>
      </c>
      <c r="AO1" s="1" t="s">
        <v>378</v>
      </c>
    </row>
    <row r="2">
      <c r="A2" s="1" t="s">
        <v>379</v>
      </c>
      <c r="B2" s="1" t="s">
        <v>380</v>
      </c>
      <c r="C2" s="1" t="s">
        <v>381</v>
      </c>
      <c r="D2" s="1" t="s">
        <v>382</v>
      </c>
      <c r="E2" s="1" t="s">
        <v>383</v>
      </c>
      <c r="F2" s="1" t="s">
        <v>384</v>
      </c>
      <c r="G2" s="1" t="s">
        <v>385</v>
      </c>
      <c r="H2" s="1" t="s">
        <v>386</v>
      </c>
      <c r="I2" s="1" t="s">
        <v>387</v>
      </c>
      <c r="J2" s="1" t="s">
        <v>388</v>
      </c>
      <c r="K2" s="1" t="s">
        <v>389</v>
      </c>
      <c r="L2" s="1" t="s">
        <v>390</v>
      </c>
      <c r="M2" s="1" t="s">
        <v>391</v>
      </c>
      <c r="N2" s="1" t="s">
        <v>386</v>
      </c>
      <c r="O2" s="1" t="s">
        <v>392</v>
      </c>
      <c r="P2" t="str">
        <f>IFERROR(VLOOKUP(R2, EMPLOYEES!A:C, 3, FALSE), "N/A")</f>
      </c>
      <c r="Q2" t="str">
        <f>IFERROR(VLOOKUP(R2, EMPLOYEES!A:C, 2, FALSE), "N/A")</f>
      </c>
      <c r="R2" s="1" t="s">
        <v>393</v>
      </c>
      <c r="S2" s="1" t="s">
        <v>394</v>
      </c>
      <c r="T2" s="1" t="s">
        <v>395</v>
      </c>
      <c r="U2" s="1" t="s">
        <v>396</v>
      </c>
      <c r="V2" s="1" t="s">
        <v>397</v>
      </c>
      <c r="W2" s="1" t="s">
        <v>398</v>
      </c>
      <c r="X2" s="1" t="s">
        <v>399</v>
      </c>
      <c r="Y2" s="1" t="s">
        <v>400</v>
      </c>
      <c r="Z2" s="1" t="s">
        <v>401</v>
      </c>
      <c r="AA2" s="1" t="s">
        <v>402</v>
      </c>
      <c r="AB2" s="1" t="s">
        <v>403</v>
      </c>
      <c r="AC2" s="1" t="s">
        <v>404</v>
      </c>
      <c r="AD2" s="1" t="s">
        <v>405</v>
      </c>
      <c r="AE2" s="1" t="s">
        <v>406</v>
      </c>
      <c r="AF2" s="1" t="s">
        <v>407</v>
      </c>
      <c r="AG2" s="1" t="s">
        <v>408</v>
      </c>
      <c r="AH2" s="1" t="s">
        <v>409</v>
      </c>
      <c r="AI2" s="1" t="s">
        <v>410</v>
      </c>
      <c r="AJ2" s="1" t="s">
        <v>411</v>
      </c>
      <c r="AK2" s="1" t="s">
        <v>412</v>
      </c>
      <c r="AL2" s="1" t="s">
        <v>413</v>
      </c>
      <c r="AM2" s="1" t="s">
        <v>414</v>
      </c>
      <c r="AN2" s="1" t="s">
        <v>415</v>
      </c>
      <c r="AO2" s="1" t="s">
        <v>416</v>
      </c>
    </row>
    <row r="3">
      <c r="A3" s="1" t="s">
        <v>417</v>
      </c>
      <c r="B3" s="1" t="s">
        <v>380</v>
      </c>
      <c r="C3" s="1" t="s">
        <v>418</v>
      </c>
      <c r="D3" s="1" t="s">
        <v>419</v>
      </c>
      <c r="E3" s="1" t="s">
        <v>420</v>
      </c>
      <c r="F3" s="1" t="s">
        <v>384</v>
      </c>
      <c r="G3" s="1" t="s">
        <v>385</v>
      </c>
      <c r="H3" s="1" t="s">
        <v>386</v>
      </c>
      <c r="I3" s="1" t="s">
        <v>387</v>
      </c>
      <c r="J3" s="1" t="s">
        <v>388</v>
      </c>
      <c r="K3" s="1" t="s">
        <v>421</v>
      </c>
      <c r="L3" s="1" t="s">
        <v>390</v>
      </c>
      <c r="M3" s="1" t="s">
        <v>391</v>
      </c>
      <c r="N3" s="1" t="s">
        <v>386</v>
      </c>
      <c r="O3" s="1" t="s">
        <v>392</v>
      </c>
      <c r="P3" t="str">
        <f>IFERROR(VLOOKUP(R3, EMPLOYEES!A:C, 3, FALSE), "N/A")</f>
      </c>
      <c r="Q3" t="str">
        <f>IFERROR(VLOOKUP(R3, EMPLOYEES!A:C, 2, FALSE), "N/A")</f>
      </c>
      <c r="R3" s="1" t="s">
        <v>393</v>
      </c>
      <c r="S3" s="1" t="s">
        <v>422</v>
      </c>
      <c r="T3" s="1" t="s">
        <v>333</v>
      </c>
      <c r="U3" s="1" t="s">
        <v>396</v>
      </c>
      <c r="V3" s="1" t="s">
        <v>397</v>
      </c>
      <c r="W3" s="1" t="s">
        <v>398</v>
      </c>
      <c r="X3" s="1" t="s">
        <v>399</v>
      </c>
      <c r="Y3" s="1" t="s">
        <v>400</v>
      </c>
      <c r="Z3" s="1" t="s">
        <v>401</v>
      </c>
      <c r="AA3" s="1" t="s">
        <v>402</v>
      </c>
      <c r="AB3" s="1" t="s">
        <v>403</v>
      </c>
      <c r="AC3" s="1" t="s">
        <v>404</v>
      </c>
      <c r="AD3" s="1" t="s">
        <v>405</v>
      </c>
      <c r="AE3" s="1" t="s">
        <v>406</v>
      </c>
      <c r="AF3" s="1" t="s">
        <v>407</v>
      </c>
      <c r="AG3" s="1" t="s">
        <v>408</v>
      </c>
      <c r="AH3" s="1" t="s">
        <v>409</v>
      </c>
      <c r="AI3" s="1" t="s">
        <v>410</v>
      </c>
      <c r="AJ3" s="1" t="s">
        <v>411</v>
      </c>
      <c r="AK3" s="1" t="s">
        <v>412</v>
      </c>
      <c r="AL3" s="1" t="s">
        <v>413</v>
      </c>
      <c r="AM3" s="1" t="s">
        <v>414</v>
      </c>
      <c r="AN3" s="1" t="s">
        <v>415</v>
      </c>
      <c r="AO3" s="1" t="s">
        <v>416</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