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<sst xmlns="http://schemas.openxmlformats.org/spreadsheetml/2006/main" count="377" uniqueCount="377">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</sst>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0:36:54"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1" t="s">
        <v>359</v>
      </c>
      <c r="D2" s="1" t="s">
        <v>360</v>
      </c>
      <c r="E2" s="1" t="s">
        <v>361</v>
      </c>
      <c r="F2" s="1" t="s">
        <v>362</v>
      </c>
      <c r="G2" s="1" t="s">
        <v>363</v>
      </c>
      <c r="H2" s="1" t="s">
        <v>364</v>
      </c>
      <c r="I2" t="str">
        <f>IFERROR(VLOOKUP(G2, EMPLOYEES!A:C, 2, FALSE), "N/A")</f>
      </c>
      <c r="J2" t="str">
        <f>IFERROR(VLOOKUP(G2, EMPLOYEES!A:C, 3, FALSE), "N/A")</f>
      </c>
      <c r="K2" s="1" t="s">
        <v>365</v>
      </c>
      <c r="L2" s="1" t="s">
        <v>366</v>
      </c>
      <c r="M2" s="1" t="s">
        <v>367</v>
      </c>
      <c r="N2" s="1" t="s">
        <v>368</v>
      </c>
      <c r="O2" s="1" t="s">
        <v>369</v>
      </c>
      <c r="P2" s="1" t="s">
        <v>370</v>
      </c>
      <c r="Q2" s="1" t="s">
        <v>371</v>
      </c>
      <c r="R2" s="1" t="s">
        <v>372</v>
      </c>
      <c r="S2" s="1" t="s">
        <v>373</v>
      </c>
      <c r="T2" s="1" t="s">
        <v>374</v>
      </c>
      <c r="U2" s="1" t="s">
        <v>331</v>
      </c>
      <c r="V2" s="1" t="s">
        <v>375</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2" t="s">
        <v>376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